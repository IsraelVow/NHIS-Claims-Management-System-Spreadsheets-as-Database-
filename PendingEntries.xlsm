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Almadina Related\NHIS RELATED\"/>
    </mc:Choice>
  </mc:AlternateContent>
  <xr:revisionPtr revIDLastSave="0" documentId="13_ncr:1_{A1750570-0B46-4A71-8FE6-D841607EF6D4}" xr6:coauthVersionLast="47" xr6:coauthVersionMax="47" xr10:uidLastSave="{00000000-0000-0000-0000-000000000000}"/>
  <bookViews>
    <workbookView showHorizontalScroll="0" showVerticalScroll="0" showSheetTabs="0" xWindow="3255" yWindow="795" windowWidth="15375" windowHeight="7875" tabRatio="705" xr2:uid="{93F68E5D-03B5-41A1-87F1-B920C5179AF2}"/>
  </bookViews>
  <sheets>
    <sheet name="Welcome" sheetId="66" r:id="rId1"/>
    <sheet name="PendingDatabase" sheetId="67" state="hidden" r:id="rId2"/>
    <sheet name="PendingHELPER" sheetId="68" state="hidden" r:id="rId3"/>
    <sheet name="PublicHMOs" sheetId="64" state="hidden" r:id="rId4"/>
    <sheet name="PrivateHMOs" sheetId="65" state="hidden" r:id="rId5"/>
    <sheet name="Support" sheetId="2" state="hidden" r:id="rId6"/>
  </sheets>
  <externalReferences>
    <externalReference r:id="rId7"/>
    <externalReference r:id="rId8"/>
  </externalReferences>
  <definedNames>
    <definedName name="_xlnm._FilterDatabase" localSheetId="1" hidden="1">PendingDatabase!$A$1:$V$8</definedName>
    <definedName name="_xlcn.WorksheetConnection_MasterPublicDatabaseAAD1" hidden="1">[1]MasterPublicDatabase!$A:$AE</definedName>
    <definedName name="_xlcn.WorksheetConnection_NCMS019Copy.xlsmTable11" hidden="1">[2]DateChartSupport!$R$1:$S$201</definedName>
    <definedName name="almadina_PublicRate">#REF!</definedName>
    <definedName name="AlmadinaAccommodation">OFFSET(#REF!,0,0,COUNTA(#REF!))</definedName>
    <definedName name="AlmadinaConsultations">OFFSET(#REF!,0,0,COUNTA(#REF!))</definedName>
    <definedName name="AlmadinaDrugs">OFFSET(#REF!,0,0,COUNTA(#REF!))</definedName>
    <definedName name="AlmadinaInvestigations">OFFSET(#REF!,0,0,COUNTA(#REF!))</definedName>
    <definedName name="AlmadinaSurgery">OFFSET(#REF!,0,0,COUNTA(#REF!))</definedName>
    <definedName name="AvonRate">OFFSET(#REF!,0,0,COUNTA(#REF!))</definedName>
    <definedName name="Companies">OFFSET(Support!$N$2,0,0,COUNTA(Support!$N$2:$N$1048576))</definedName>
    <definedName name="Diagnosis">OFFSET(Support!$J$2,0,0,COUNTA(Support!$J$2:$J$1048576))</definedName>
    <definedName name="DocList">OFFSET(#REF!,0,0,COUNTA(#REF!),2)</definedName>
    <definedName name="Doctors">OFFSET(Support!$O$2,0,0,COUNTA(Support!$O$2:$O$1048576))</definedName>
    <definedName name="DrugsPublic">OFFSET(#REF!,0,0,COUNTA(#REF!))</definedName>
    <definedName name="EmailAddress">OFFSET(Support!$AF$2,0,0,COUNTA(Support!$AF$2:$AF$1048576))</definedName>
    <definedName name="Gender">Support!$G$2:$G$3</definedName>
    <definedName name="GNIRate">OFFSET(#REF!,0,0,COUNTA(#REF!))</definedName>
    <definedName name="HCSRate">OFFSET(#REF!,0,0,COUNTA(#REF!))</definedName>
    <definedName name="HMOnames">OFFSET(Support!$E$2,0,0,COUNTA(Support!$E$2:$E$1048576))</definedName>
    <definedName name="HMOPortal">OFFSET(#REF!,0,0,COUNTA(#REF!))</definedName>
    <definedName name="HMOsPortal">OFFSET(Support!$AA$2,0,0,COUNTA(Support!$AA$2:$AA$1048576),)</definedName>
    <definedName name="Hospitals">OFFSET(Support!$P$2,0,0,COUNTA(Support!$P$2:$P$1048576))</definedName>
    <definedName name="HPrate">OFFSET(#REF!,0,0,COUNTA(#REF!))</definedName>
    <definedName name="HSAccomodation">OFFSET(#REF!,0,0,COUNTA(#REF!))</definedName>
    <definedName name="HsConsultations">OFFSET(#REF!,0,0,COUNTA(#REF!))</definedName>
    <definedName name="MarinaRate">OFFSET(#REF!,0,0,COUNTA(#REF!))</definedName>
    <definedName name="Months">OFFSET(Support!$AD$2,0,0,COUNTA(Support!$AD$2:$AD$1048576),)</definedName>
    <definedName name="MPRate">OFFSET(#REF!,0,0,COUNTA(#REF!))</definedName>
    <definedName name="PatientPlan">OFFSET(Support!$H$2,0,0,COUNTA(Support!$H$2:$H$1048576))</definedName>
    <definedName name="PendingDatabase">OFFSET(#REF!,0,0,COUNTA(#REF!))</definedName>
    <definedName name="PresentingComplains">OFFSET(Support!$I$2,0,0,COUNTA(Support!$I$2:$I$1048576))</definedName>
    <definedName name="PrivateHMO">OFFSET(PrivateHMOs!$B$2,0,0,COUNTA(PrivateHMOs!$B$2:$B$1048576))</definedName>
    <definedName name="PublicHMO">OFFSET(PublicHMOs!$B$2,0,0,COUNTA(PublicHMOs!$B$2:$B$1048576))</definedName>
    <definedName name="RegenixRates">OFFSET(#REF!,0,0,COUNTA(#REF!))</definedName>
    <definedName name="RodingRate">OFFSET(#REF!,0,0,COUNTA(#REF!))</definedName>
    <definedName name="ServicesPublic">OFFSET(#REF!,0,0,COUNTA(#REF!))</definedName>
    <definedName name="SUNURate">OFFSET(#REF!,0,0,COUNTA(#REF!))</definedName>
    <definedName name="UserNames">OFFSET(#REF!,0,0,COUNTA(#REF!),)</definedName>
  </definedNames>
  <calcPr calcId="18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Range" name="Range" connection="WorksheetConnection_MasterPublicDatabase!$A:$AD"/>
          <x15:modelTable id="Table1" name="Table1" connection="WorksheetConnection_NCMS019 - Copy.xlsm!Table1"/>
        </x15:modelTables>
        <x15:modelRelationships>
          <x15:modelRelationship fromTable="Range" fromColumn="Date of Transaction" toTable="Table1" toColumn="Date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2" l="1"/>
  <c r="B1" i="2"/>
  <c r="AA1" i="67"/>
  <c r="AF6" i="2" l="1"/>
  <c r="AF7" i="2"/>
  <c r="AF8" i="2"/>
  <c r="AF9" i="2"/>
  <c r="AF10" i="2"/>
  <c r="AF11" i="2"/>
  <c r="AF12" i="2"/>
  <c r="AF13" i="2"/>
  <c r="AF14" i="2"/>
  <c r="AF15" i="2"/>
  <c r="AF16" i="2"/>
  <c r="AF17" i="2"/>
  <c r="AF18" i="2"/>
  <c r="AF19" i="2"/>
  <c r="AF20" i="2"/>
  <c r="AF21" i="2"/>
  <c r="AF22" i="2"/>
  <c r="AF23" i="2"/>
  <c r="AF24" i="2"/>
  <c r="AF25" i="2"/>
  <c r="AF26" i="2"/>
  <c r="AF27" i="2"/>
  <c r="AF28" i="2"/>
  <c r="AF29" i="2"/>
  <c r="AF30" i="2"/>
  <c r="AF31" i="2"/>
  <c r="AF32" i="2"/>
  <c r="AF33" i="2"/>
  <c r="AF34" i="2"/>
  <c r="AF35" i="2"/>
  <c r="AF36" i="2"/>
  <c r="AF37" i="2"/>
  <c r="AF38" i="2"/>
  <c r="AF39" i="2"/>
  <c r="AF40" i="2"/>
  <c r="AF41" i="2"/>
  <c r="AF42" i="2"/>
  <c r="AF43" i="2"/>
  <c r="AF44" i="2"/>
  <c r="AF45" i="2"/>
  <c r="AF46" i="2"/>
  <c r="AF47" i="2"/>
  <c r="AF48" i="2"/>
  <c r="AF49" i="2"/>
  <c r="AF50" i="2"/>
  <c r="AF51" i="2"/>
  <c r="AF52" i="2"/>
  <c r="AF53" i="2"/>
  <c r="AF54" i="2"/>
  <c r="AF55" i="2"/>
  <c r="AF56" i="2"/>
  <c r="AF57" i="2"/>
  <c r="AF58" i="2"/>
  <c r="AF59" i="2"/>
  <c r="AF60" i="2"/>
  <c r="AF61" i="2"/>
  <c r="AF62" i="2"/>
  <c r="AF63" i="2"/>
  <c r="AF64" i="2"/>
  <c r="AF65" i="2"/>
  <c r="AF66" i="2"/>
  <c r="AF67" i="2"/>
  <c r="AF68" i="2"/>
  <c r="AF69" i="2"/>
  <c r="AF70" i="2"/>
  <c r="AF71" i="2"/>
  <c r="AF72" i="2"/>
  <c r="AF73" i="2"/>
  <c r="AF74" i="2"/>
  <c r="AF75" i="2"/>
  <c r="AF76" i="2"/>
  <c r="AF77" i="2"/>
  <c r="AF78" i="2"/>
  <c r="AF79" i="2"/>
  <c r="AF80" i="2"/>
  <c r="AF81" i="2"/>
  <c r="AF82" i="2"/>
  <c r="AF83" i="2"/>
  <c r="AF84" i="2"/>
  <c r="AF85" i="2"/>
  <c r="AF86" i="2"/>
  <c r="AF87" i="2"/>
  <c r="AF88" i="2"/>
  <c r="AF89" i="2"/>
  <c r="AF90" i="2"/>
  <c r="AF91" i="2"/>
  <c r="AF92" i="2"/>
  <c r="AF93" i="2"/>
  <c r="AF94" i="2"/>
  <c r="AF95" i="2"/>
  <c r="AF96" i="2"/>
  <c r="AF97" i="2"/>
  <c r="AF98" i="2"/>
  <c r="AF99" i="2"/>
  <c r="AF100" i="2"/>
  <c r="AF101" i="2"/>
  <c r="AF102" i="2"/>
  <c r="AF103" i="2"/>
  <c r="AF104" i="2"/>
  <c r="AF105" i="2"/>
  <c r="AF106" i="2"/>
  <c r="AF107" i="2"/>
  <c r="AF108" i="2"/>
  <c r="AF109" i="2"/>
  <c r="AF110" i="2"/>
  <c r="AF111" i="2"/>
  <c r="AF112" i="2"/>
  <c r="AF113" i="2"/>
  <c r="AF114" i="2"/>
  <c r="AF115" i="2"/>
  <c r="AF116" i="2"/>
  <c r="AF117" i="2"/>
  <c r="AF118" i="2"/>
  <c r="AF119" i="2"/>
  <c r="AF120" i="2"/>
  <c r="AF121" i="2"/>
  <c r="AF122" i="2"/>
  <c r="AF123" i="2"/>
  <c r="AF124" i="2"/>
  <c r="AF125" i="2"/>
  <c r="AF126" i="2"/>
  <c r="AF127" i="2"/>
  <c r="AF128" i="2"/>
  <c r="AF129" i="2"/>
  <c r="AF130" i="2"/>
  <c r="AF131" i="2"/>
  <c r="AF132" i="2"/>
  <c r="AF133" i="2"/>
  <c r="AF134" i="2"/>
  <c r="AF135" i="2"/>
  <c r="AF136" i="2"/>
  <c r="AF137" i="2"/>
  <c r="AF138" i="2"/>
  <c r="AF139" i="2"/>
  <c r="AF140" i="2"/>
  <c r="AF141" i="2"/>
  <c r="AF142" i="2"/>
  <c r="AF143" i="2"/>
  <c r="AF144" i="2"/>
  <c r="AF145" i="2"/>
  <c r="AF146" i="2"/>
  <c r="AF147" i="2"/>
  <c r="AF148" i="2"/>
  <c r="AF149" i="2"/>
  <c r="AF150" i="2"/>
  <c r="AF151" i="2"/>
  <c r="AF152" i="2"/>
  <c r="AF153" i="2"/>
  <c r="AF154" i="2"/>
  <c r="AF155" i="2"/>
  <c r="AF156" i="2"/>
  <c r="AF157" i="2"/>
  <c r="AF158" i="2"/>
  <c r="AF159" i="2"/>
  <c r="AF160" i="2"/>
  <c r="AF161" i="2"/>
  <c r="AF162" i="2"/>
  <c r="AF163" i="2"/>
  <c r="AF164" i="2"/>
  <c r="AF165" i="2"/>
  <c r="AF166" i="2"/>
  <c r="AF167" i="2"/>
  <c r="AF168" i="2"/>
  <c r="AF169" i="2"/>
  <c r="AF170" i="2"/>
  <c r="AF171" i="2"/>
  <c r="AF172" i="2"/>
  <c r="AF173" i="2"/>
  <c r="AF174" i="2"/>
  <c r="AF175" i="2"/>
  <c r="AF176" i="2"/>
  <c r="AF177" i="2"/>
  <c r="AF178" i="2"/>
  <c r="AF179" i="2"/>
  <c r="AF180" i="2"/>
  <c r="AF181" i="2"/>
  <c r="AF182" i="2"/>
  <c r="AF183" i="2"/>
  <c r="AF184" i="2"/>
  <c r="AF185" i="2"/>
  <c r="AF186" i="2"/>
  <c r="AF187" i="2"/>
  <c r="AF188" i="2"/>
  <c r="AF189" i="2"/>
  <c r="AF190" i="2"/>
  <c r="AF191" i="2"/>
  <c r="AF192" i="2"/>
  <c r="AF193" i="2"/>
  <c r="AF194" i="2"/>
  <c r="AF195" i="2"/>
  <c r="AF196" i="2"/>
  <c r="AF197" i="2"/>
  <c r="AF198" i="2"/>
  <c r="AF199" i="2"/>
  <c r="AF200" i="2"/>
  <c r="AF201" i="2"/>
  <c r="AF202" i="2"/>
  <c r="AF203" i="2"/>
  <c r="AF204" i="2"/>
  <c r="AF205" i="2"/>
  <c r="AF206" i="2"/>
  <c r="AF207" i="2"/>
  <c r="AF208" i="2"/>
  <c r="AF209" i="2"/>
  <c r="AF210" i="2"/>
  <c r="AF211" i="2"/>
  <c r="AF212" i="2"/>
  <c r="AF213" i="2"/>
  <c r="AF214" i="2"/>
  <c r="AF215" i="2"/>
  <c r="AF216" i="2"/>
  <c r="AF5" i="2"/>
  <c r="AM1" i="2"/>
  <c r="AJ5" i="2" s="1"/>
  <c r="Y1" i="2"/>
  <c r="V2" i="2" s="1"/>
  <c r="M116" i="2"/>
  <c r="M115" i="2"/>
  <c r="M114" i="2"/>
  <c r="M113" i="2"/>
  <c r="M112" i="2"/>
  <c r="M111" i="2"/>
  <c r="M110" i="2"/>
  <c r="M109" i="2"/>
  <c r="M108" i="2"/>
  <c r="M107" i="2"/>
  <c r="M106" i="2"/>
  <c r="M105" i="2"/>
  <c r="M104" i="2"/>
  <c r="M103" i="2"/>
  <c r="M102" i="2"/>
  <c r="M101" i="2"/>
  <c r="M100" i="2"/>
  <c r="M99" i="2"/>
  <c r="M98" i="2"/>
  <c r="M97" i="2"/>
  <c r="M96" i="2"/>
  <c r="M95" i="2"/>
  <c r="M94" i="2"/>
  <c r="M93" i="2"/>
  <c r="M92" i="2"/>
  <c r="M91" i="2"/>
  <c r="M90" i="2"/>
  <c r="M89" i="2"/>
  <c r="M88" i="2"/>
  <c r="M87" i="2"/>
  <c r="M86" i="2"/>
  <c r="M85" i="2"/>
  <c r="M84" i="2"/>
  <c r="M83" i="2"/>
  <c r="M82" i="2"/>
  <c r="M81" i="2"/>
  <c r="M80" i="2"/>
  <c r="M79" i="2"/>
  <c r="M78" i="2"/>
  <c r="M77" i="2"/>
  <c r="M76" i="2"/>
  <c r="M75" i="2"/>
  <c r="M74" i="2"/>
  <c r="M73" i="2"/>
  <c r="M72" i="2"/>
  <c r="M71" i="2"/>
  <c r="M70" i="2"/>
  <c r="M69" i="2"/>
  <c r="M68" i="2"/>
  <c r="M67" i="2"/>
  <c r="M66" i="2"/>
  <c r="M65" i="2"/>
  <c r="M64" i="2"/>
  <c r="M63" i="2"/>
  <c r="M62" i="2"/>
  <c r="M61" i="2"/>
  <c r="M60" i="2"/>
  <c r="M59" i="2"/>
  <c r="M58" i="2"/>
  <c r="M57" i="2"/>
  <c r="M56" i="2"/>
  <c r="M55" i="2"/>
  <c r="M54" i="2"/>
  <c r="M53" i="2"/>
  <c r="M52" i="2"/>
  <c r="M51" i="2"/>
  <c r="M50" i="2"/>
  <c r="M49" i="2"/>
  <c r="M48" i="2"/>
  <c r="M47" i="2"/>
  <c r="M46" i="2"/>
  <c r="M45" i="2"/>
  <c r="M44" i="2"/>
  <c r="M43" i="2"/>
  <c r="M42" i="2"/>
  <c r="M41" i="2"/>
  <c r="M40" i="2"/>
  <c r="M39" i="2"/>
  <c r="M38" i="2"/>
  <c r="M37" i="2"/>
  <c r="M36" i="2"/>
  <c r="M35" i="2"/>
  <c r="M34" i="2"/>
  <c r="M33" i="2"/>
  <c r="M32" i="2"/>
  <c r="M31" i="2"/>
  <c r="M30" i="2"/>
  <c r="M29" i="2"/>
  <c r="M28" i="2"/>
  <c r="M27" i="2"/>
  <c r="M26" i="2"/>
  <c r="M25" i="2"/>
  <c r="M24" i="2"/>
  <c r="M23" i="2"/>
  <c r="M22" i="2"/>
  <c r="M21" i="2"/>
  <c r="M20" i="2"/>
  <c r="M19" i="2"/>
  <c r="M18" i="2"/>
  <c r="M17" i="2"/>
  <c r="M16" i="2"/>
  <c r="M15" i="2"/>
  <c r="M14" i="2"/>
  <c r="M13" i="2"/>
  <c r="M12" i="2"/>
  <c r="M11" i="2"/>
  <c r="M10" i="2"/>
  <c r="M9" i="2"/>
  <c r="M8" i="2"/>
  <c r="M7" i="2"/>
  <c r="M6" i="2"/>
  <c r="M5" i="2"/>
  <c r="M4" i="2"/>
  <c r="M3" i="2"/>
  <c r="M2" i="2"/>
  <c r="A2" i="2" l="1"/>
  <c r="A4" i="2"/>
  <c r="V1" i="2"/>
  <c r="V15" i="2"/>
  <c r="V1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Israel Josiah</author>
  </authors>
  <commentList>
    <comment ref="B1" authorId="0" shapeId="0" xr:uid="{E0B5DD9D-88C6-4974-A8E6-76A4E5C5AD69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First Date of Database entry(For Exporting database to pdf)
</t>
        </r>
      </text>
    </comment>
    <comment ref="E1" authorId="0" shapeId="0" xr:uid="{DA2035A9-2CA0-4C57-9794-088591911342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This Table feeds all claims form with their HMO CODE</t>
        </r>
      </text>
    </comment>
    <comment ref="R1" authorId="0" shapeId="0" xr:uid="{71221B41-FF68-4D44-A8E8-58569A8D2CFF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For Tarif Form:
To know whether HMO has been selected for hover effect.</t>
        </r>
      </text>
    </comment>
    <comment ref="S1" authorId="0" shapeId="0" xr:uid="{8FB2AE37-9A77-4621-A4B3-7403EEE59BE8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Support for special effects on userform mouse move (1, when save button is clicked 0 by default)</t>
        </r>
      </text>
    </comment>
    <comment ref="T1" authorId="0" shapeId="0" xr:uid="{A24A9DB1-E903-4496-A782-18520F3BC090}">
      <text>
        <r>
          <rPr>
            <b/>
            <sz val="9"/>
            <color indexed="81"/>
            <rFont val="Tahoma"/>
            <family val="2"/>
          </rPr>
          <t xml:space="preserve">Israel Josiah:
</t>
        </r>
        <r>
          <rPr>
            <sz val="9"/>
            <color indexed="81"/>
            <rFont val="Tahoma"/>
            <family val="2"/>
          </rPr>
          <t>Tarrif form, to know whether user has made any changes..for application to save or Not</t>
        </r>
      </text>
    </comment>
    <comment ref="U1" authorId="0" shapeId="0" xr:uid="{77965251-8B39-470E-9085-C4E75D27AC61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start and end month date for both Avon Claims form and Report Page</t>
        </r>
      </text>
    </comment>
    <comment ref="AO1" authorId="0" shapeId="0" xr:uid="{C1683306-BB82-4BAE-A376-3DC4C98B70A2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for permission checkbox, if a user has all buttons showing "on"… or the database reading all "true" then The checkbox should be ticked… this cell shows 1 as to yes… all "true" from database
</t>
        </r>
      </text>
    </comment>
    <comment ref="A2" authorId="0" shapeId="0" xr:uid="{978E59B3-3A40-409F-8532-D8CD3E43F666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for portal claim Multipage ( show Page 1 to show on initialize, if user isnt permitted).. Vlookup picks from current user </t>
        </r>
      </text>
    </comment>
    <comment ref="B2" authorId="0" shapeId="0" xr:uid="{4F4C4458-0120-44F4-B987-B20550E9BA1B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last Date of Database entry(For Exporting database to pdf)</t>
        </r>
      </text>
    </comment>
    <comment ref="A4" authorId="0" shapeId="0" xr:uid="{CF4667F7-6EFE-4A0B-AA78-63698FC1DBA5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for indicators ( hide charts and kpi if user isnt permitted).. Vlookup picks from current user 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2CF83B2-7899-4789-BB8E-2A79450872BD}" keepAlive="1" name="Query - Table1 (2)" description="Connection to the 'Table1 (2)' query in the workbook." type="5" refreshedVersion="7" background="1" saveData="1">
    <dbPr connection="Provider=Microsoft.Mashup.OleDb.1;Data Source=$Workbook$;Location=&quot;Table1 (2)&quot;;Extended Properties=&quot;&quot;" command="SELECT * FROM [Table1 (2)]"/>
  </connection>
  <connection id="2" xr16:uid="{FB0628ED-040E-42A7-9C77-55993E36097D}" keepAlive="1" name="ThisWorkbookDataModel" description="Data Model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32AE7569-2497-4D62-971E-C86101AF2A4D}" name="WorksheetConnection_MasterPublicDatabase!$A:$AD" type="102" refreshedVersion="7" minRefreshableVersion="5">
    <extLst>
      <ext xmlns:x15="http://schemas.microsoft.com/office/spreadsheetml/2010/11/main" uri="{DE250136-89BD-433C-8126-D09CA5730AF9}">
        <x15:connection id="Range" autoDelete="1">
          <x15:rangePr sourceName="_xlcn.WorksheetConnection_MasterPublicDatabaseAAD1"/>
        </x15:connection>
      </ext>
    </extLst>
  </connection>
  <connection id="4" xr16:uid="{CA171FD8-2936-469C-BB90-68E8B3FE38C3}" name="WorksheetConnection_NCMS019 - Copy.xlsm!Table1" type="102" refreshedVersion="7" minRefreshableVersion="5">
    <extLst>
      <ext xmlns:x15="http://schemas.microsoft.com/office/spreadsheetml/2010/11/main" uri="{DE250136-89BD-433C-8126-D09CA5730AF9}">
        <x15:connection id="Table1">
          <x15:rangePr sourceName="_xlcn.WorksheetConnection_NCMS019Copy.xlsmTable11"/>
        </x15:connection>
      </ext>
    </extLst>
  </connection>
</connections>
</file>

<file path=xl/sharedStrings.xml><?xml version="1.0" encoding="utf-8"?>
<sst xmlns="http://schemas.openxmlformats.org/spreadsheetml/2006/main" count="1227" uniqueCount="825">
  <si>
    <t>RONSBERGER NIGERIA LIMITED (PUBLIC)</t>
  </si>
  <si>
    <t>ANCHOR HMO INTERNATIONAL COMPANY LTD (PUBLIC)</t>
  </si>
  <si>
    <t>TOTAL HEALTH TRUST LIMITED (PRIVATE)</t>
  </si>
  <si>
    <t>CLEARLINE INTERNATIONAL LIMITED (PRIVATE)</t>
  </si>
  <si>
    <t>HEALTHCARE INTERNATIONAL LIMITED (PRIVATE)</t>
  </si>
  <si>
    <t>UNITED HEALTHCARE INTERNATIONAL LTD (PRIVATE)</t>
  </si>
  <si>
    <t>SONGHAI HEALTH TRUST LTD (PRIVATE)</t>
  </si>
  <si>
    <t>SUNU LTD (PRIVATE)</t>
  </si>
  <si>
    <t>VENUS MEDICARE LTD (PRIVATE)</t>
  </si>
  <si>
    <t>VERITAS HMO (PRIVATE)</t>
  </si>
  <si>
    <t>HEALTH PARTNERS LIMITED (PRIVATE)</t>
  </si>
  <si>
    <t>OCEANIC HEALTH MANAGEMENT LIMITED (PRIVATE)</t>
  </si>
  <si>
    <t>AVON HEALTHCARE LIMITED (PRIVATE)</t>
  </si>
  <si>
    <t>ANCHOR HMO INTERNATIONAL COMPANY LTD (PRIVATE)</t>
  </si>
  <si>
    <t>HYGEIA HMO LIMITED (PUBLIC)</t>
  </si>
  <si>
    <t>TOTAL HEALTH TRUST LIMITED (PUBLIC)</t>
  </si>
  <si>
    <t>CLEARLINE INTERNATIONAL LIMITED (PUBLIC)</t>
  </si>
  <si>
    <t>HEALTHCARE INTERNATIONAL LIMITED (PUBLIC)</t>
  </si>
  <si>
    <t>MEDI PLAN HEALTH CARE LIMITED (PUBLIC)</t>
  </si>
  <si>
    <t>MULTI SHIELD NIGERIA LIMITED (PUBLIC)</t>
  </si>
  <si>
    <t>UNITED HEALTHCARE INTERNATIONAL LTD (PUBLIC)</t>
  </si>
  <si>
    <t>INT'L HEALTH MANAGEMENT SERVICES LTD (PUBLIC)</t>
  </si>
  <si>
    <t>EXPATCARE HEALTH INTERNATIONAL LTD (PUBLIC)</t>
  </si>
  <si>
    <t>SONGHAI HEALTH TRUST LTD (PUBLIC)</t>
  </si>
  <si>
    <t>INTEGRATED HEALTHCARE LTD (PUBLIC)</t>
  </si>
  <si>
    <t>SUNU LTD (PUBLIC)</t>
  </si>
  <si>
    <t>PRINCETON HEALTH GROUP (PUBLIC)</t>
  </si>
  <si>
    <t>WETLANDS HEALTH SERVICES LTD (PUBLIC)</t>
  </si>
  <si>
    <t>VENUS MEDICARE LTD (PUBLIC)</t>
  </si>
  <si>
    <t>DEFENCE HEALTH MAINTENANCE LTD (PUBLIC)</t>
  </si>
  <si>
    <t>UNITED COMPREHENSIVE HEALTH MANAGERS LTD (PUBLIC)</t>
  </si>
  <si>
    <t>VERITAS HMO (PUBLIC)</t>
  </si>
  <si>
    <t>PREPAID MEDICARE SERVICES LTD (PUBLIC)</t>
  </si>
  <si>
    <t>PRECIOUS HEALTHCARE LIMITED (PUBLIC)</t>
  </si>
  <si>
    <t>GMD HEALTHCARE LIMITED (PUBLIC)</t>
  </si>
  <si>
    <t>NONSUCH MEDICARE LTD (PUBLIC)</t>
  </si>
  <si>
    <t>ULTIMATE HEALTH MANAGEMENT SERVICES LTD (PUBLIC)</t>
  </si>
  <si>
    <t>WISEHEALTH SERVICES LIMITED (PUBLIC)</t>
  </si>
  <si>
    <t>ZUMA HEALTH TRUST (PUBLIC)</t>
  </si>
  <si>
    <t>PREMIER MEDICAID (PUBLIC)</t>
  </si>
  <si>
    <t>PROHEALTH HMO LIMITED (PRIVATE)</t>
  </si>
  <si>
    <t>POLICE HMO (PUBLIC)</t>
  </si>
  <si>
    <t>REDCARE HEALTH SERVICES LIMITED (PRIVATE)</t>
  </si>
  <si>
    <t>RODING HEALTHCARE HMO (PRIVATE)</t>
  </si>
  <si>
    <t>GREENFIELD H.C MANAGEMENT LTD (PRIVATE)</t>
  </si>
  <si>
    <t>WELLNESSHEALTH MGT SERVICES LTD (PUBLIC)</t>
  </si>
  <si>
    <t>NOVO HEALTHCARE HMO(PRIVATE)</t>
  </si>
  <si>
    <t>MANSARD HMO (PRIVATE)</t>
  </si>
  <si>
    <t>LIBERTY BLUE (THT) (PRIVATE)</t>
  </si>
  <si>
    <t>MANAGED CARE (THT) (PRIVATE)</t>
  </si>
  <si>
    <t>NOVO HEALTHCARE HMO (PUBLIC)</t>
  </si>
  <si>
    <t>DIAMOND SHIELD HEALTH SERVICES LTD. (PRIVATE)</t>
  </si>
  <si>
    <t>METRO HEALTH (PRIVATE)</t>
  </si>
  <si>
    <t>FCMB (PRIVATE)</t>
  </si>
  <si>
    <t>ULTIMATE HEALTH MANAGEMENT SERVICES (PRIVATE)</t>
  </si>
  <si>
    <t>WELLNESSHEALTH MGT SERVICES LTD (PRIVATE)</t>
  </si>
  <si>
    <t>REGENIX HEALTH CARE SERVICE LIMITED (PUBLIC)</t>
  </si>
  <si>
    <t>MAAYOIT HEALTHCARE LIMITED (PUBLIC)</t>
  </si>
  <si>
    <t>SWIFT HMO(PRIVATE)</t>
  </si>
  <si>
    <t>IVES MEDICARE (PRIVATE)</t>
  </si>
  <si>
    <t>NNPC HMO (PRIVATE)</t>
  </si>
  <si>
    <t>RELIANCE HMO (PRIVATE)</t>
  </si>
  <si>
    <t>SALUS TRUST HMO (PRIVATE)</t>
  </si>
  <si>
    <t>INT'L HEALTH MANAGEMENT SERVICES LTD(PRIVATE)</t>
  </si>
  <si>
    <t>RONSBERGER NIGERIA LIMITED (PRIVATE)</t>
  </si>
  <si>
    <t>MEDICAL PARTNERS (PRIVATE)</t>
  </si>
  <si>
    <t>AXA MANSARD (PUBLIC)</t>
  </si>
  <si>
    <t>LEADWAY HEALTH HMO(PRIVATE)</t>
  </si>
  <si>
    <t>Gender</t>
  </si>
  <si>
    <t>Male</t>
  </si>
  <si>
    <t>Female</t>
  </si>
  <si>
    <t>Patient Plan</t>
  </si>
  <si>
    <t>Premium</t>
  </si>
  <si>
    <t>Gold</t>
  </si>
  <si>
    <t>Silver</t>
  </si>
  <si>
    <t>Executive</t>
  </si>
  <si>
    <t>Bronze</t>
  </si>
  <si>
    <t>anorexia (R63.0)</t>
  </si>
  <si>
    <t>weight loss (R63.4)</t>
  </si>
  <si>
    <t>cachexia (R64)</t>
  </si>
  <si>
    <t>chills and shivering</t>
  </si>
  <si>
    <t>convulsions (R56)</t>
  </si>
  <si>
    <t>deformity</t>
  </si>
  <si>
    <t>discharge</t>
  </si>
  <si>
    <t>dizziness / Vertigo (R42)</t>
  </si>
  <si>
    <t>fatigue (R53)</t>
  </si>
  <si>
    <t>Malaria</t>
  </si>
  <si>
    <t>hypothermia (T68)</t>
  </si>
  <si>
    <t>jaundice (P58, P59, R17)</t>
  </si>
  <si>
    <t>muscle weakness (M62.8)</t>
  </si>
  <si>
    <t>pyrexia (R50)</t>
  </si>
  <si>
    <t>sweats</t>
  </si>
  <si>
    <t>swelling</t>
  </si>
  <si>
    <t>swollen or painful lymph node(s) (I88, L04, R59.1)</t>
  </si>
  <si>
    <t>weight gain (R63.5)</t>
  </si>
  <si>
    <t>arrhythmia</t>
  </si>
  <si>
    <t>bradycardia (R00.1)</t>
  </si>
  <si>
    <t>claudication</t>
  </si>
  <si>
    <t>palpitations (R00.2)</t>
  </si>
  <si>
    <t>tachycardia (R00.0)</t>
  </si>
  <si>
    <t>dry mouth (R68.2)</t>
  </si>
  <si>
    <t>epistaxis (R04.0)</t>
  </si>
  <si>
    <t>halitosis</t>
  </si>
  <si>
    <t>hearing loss</t>
  </si>
  <si>
    <t>otalgia (H92.0)</t>
  </si>
  <si>
    <t>otorrhea (H92.1)</t>
  </si>
  <si>
    <t>sore throat</t>
  </si>
  <si>
    <t>Hematemesis</t>
  </si>
  <si>
    <t>constipation (K59.0)</t>
  </si>
  <si>
    <t>dysphagia (R13)</t>
  </si>
  <si>
    <t>dyspepsia (K30)</t>
  </si>
  <si>
    <t>fecal incontinence</t>
  </si>
  <si>
    <t>flatulence (R14)</t>
  </si>
  <si>
    <t>heartburn</t>
  </si>
  <si>
    <t>nausea (R11)</t>
  </si>
  <si>
    <t>odynophagia</t>
  </si>
  <si>
    <t>pyrosis (R12)</t>
  </si>
  <si>
    <t>alopecia</t>
  </si>
  <si>
    <t>abrasion</t>
  </si>
  <si>
    <t>anasarca (R60.1)</t>
  </si>
  <si>
    <t>bleeding into the skin</t>
  </si>
  <si>
    <t>edema (R60)</t>
  </si>
  <si>
    <t>itching (L29)</t>
  </si>
  <si>
    <t>laceration</t>
  </si>
  <si>
    <t>abnormal posturing</t>
  </si>
  <si>
    <t>acalculia</t>
  </si>
  <si>
    <t>agnosia</t>
  </si>
  <si>
    <t>anosognosia</t>
  </si>
  <si>
    <t>aphasia and apraxia</t>
  </si>
  <si>
    <t>ataxia</t>
  </si>
  <si>
    <t>cataplexy (G47.4)</t>
  </si>
  <si>
    <t>confusion</t>
  </si>
  <si>
    <t>dysdiadochokinesia</t>
  </si>
  <si>
    <t>headache (R51)</t>
  </si>
  <si>
    <t>akathisia</t>
  </si>
  <si>
    <t>ballismus</t>
  </si>
  <si>
    <t>blepharospasm</t>
  </si>
  <si>
    <t>dystonia</t>
  </si>
  <si>
    <t>muscle cramps (R25.2)</t>
  </si>
  <si>
    <t>myoclonus</t>
  </si>
  <si>
    <t>tic</t>
  </si>
  <si>
    <t>tremor</t>
  </si>
  <si>
    <t>insomnia (F51.0, G47.0)</t>
  </si>
  <si>
    <t>loss of consciousness</t>
  </si>
  <si>
    <t>neck stiffness</t>
  </si>
  <si>
    <t>paresthesia (R20.2)</t>
  </si>
  <si>
    <t>prosopagnosia</t>
  </si>
  <si>
    <t>somnolence (R40.0)</t>
  </si>
  <si>
    <t>abnormal vaginal bleeding</t>
  </si>
  <si>
    <t>vaginal bleeding in early pregnancy / miscarriage</t>
  </si>
  <si>
    <t>vaginal bleeding in late pregnancy</t>
  </si>
  <si>
    <t>amenorrhea</t>
  </si>
  <si>
    <t>painful intercourse (N94.1)</t>
  </si>
  <si>
    <t>pelvic pain</t>
  </si>
  <si>
    <t>vaginal discharge</t>
  </si>
  <si>
    <t>Dalrymple's sign</t>
  </si>
  <si>
    <t>mydriasis/miosis (H570)</t>
  </si>
  <si>
    <t>amusia</t>
  </si>
  <si>
    <t>anhedonia</t>
  </si>
  <si>
    <t>anxiety</t>
  </si>
  <si>
    <t>apathy</t>
  </si>
  <si>
    <t>confabulation</t>
  </si>
  <si>
    <t>euphoria</t>
  </si>
  <si>
    <t>homicidal ideation</t>
  </si>
  <si>
    <t>paranoid ideation</t>
  </si>
  <si>
    <t>phobia:</t>
  </si>
  <si>
    <t>Main article: list of phobias</t>
  </si>
  <si>
    <t>suicidal ideation</t>
  </si>
  <si>
    <t>apnea and hypopnea</t>
  </si>
  <si>
    <t>cough (R05)</t>
  </si>
  <si>
    <t>dyspnea (R06.0)</t>
  </si>
  <si>
    <t>bradypnea (R06.0) and tachypnea (R06.0)</t>
  </si>
  <si>
    <t>orthopnea and platypnea</t>
  </si>
  <si>
    <t>trepopnea</t>
  </si>
  <si>
    <t>sputum production (R09.3)</t>
  </si>
  <si>
    <t>arthralgia</t>
  </si>
  <si>
    <t>back pain</t>
  </si>
  <si>
    <t>sciatica</t>
  </si>
  <si>
    <t>hematospermia</t>
  </si>
  <si>
    <t>hematuria (R31)</t>
  </si>
  <si>
    <t>urinary frequency (R35)</t>
  </si>
  <si>
    <t>urinary incontinence (R32)</t>
  </si>
  <si>
    <t>urinary retention</t>
  </si>
  <si>
    <t>Malaria and Fever</t>
  </si>
  <si>
    <t>Lower Abdominal pain</t>
  </si>
  <si>
    <t>Presenting Complains</t>
  </si>
  <si>
    <t>Diagnosis</t>
  </si>
  <si>
    <t>gouthy arthritis</t>
  </si>
  <si>
    <t>?malaria</t>
  </si>
  <si>
    <t>gastritis</t>
  </si>
  <si>
    <t>EF</t>
  </si>
  <si>
    <t>MF</t>
  </si>
  <si>
    <t xml:space="preserve">kiv stable angina </t>
  </si>
  <si>
    <t>pud</t>
  </si>
  <si>
    <t>uti</t>
  </si>
  <si>
    <t>?malaria kiv urti</t>
  </si>
  <si>
    <t xml:space="preserve">deep dyapareunia </t>
  </si>
  <si>
    <t>plasmodiasis</t>
  </si>
  <si>
    <t>malaria</t>
  </si>
  <si>
    <t>pid KIV vaginal candidiasis</t>
  </si>
  <si>
    <t>p  u d</t>
  </si>
  <si>
    <t>urti kiv recurrent malaria</t>
  </si>
  <si>
    <t>acute malaria</t>
  </si>
  <si>
    <t>left varicocoele</t>
  </si>
  <si>
    <t>Acute exercebation of PUD</t>
  </si>
  <si>
    <t xml:space="preserve">acute left ventricular failure secondary HHDx,R/o CAP </t>
  </si>
  <si>
    <t xml:space="preserve">kiv pericarditis </t>
  </si>
  <si>
    <t>urti</t>
  </si>
  <si>
    <t>fair control</t>
  </si>
  <si>
    <t>tonsilitis</t>
  </si>
  <si>
    <t>?urticaria kiv early onset kidney disease</t>
  </si>
  <si>
    <t>recurrent malaria</t>
  </si>
  <si>
    <t>febrile convulsion 2* ARI</t>
  </si>
  <si>
    <t>resistant malaria</t>
  </si>
  <si>
    <t>acute malaria and gastritis</t>
  </si>
  <si>
    <t>?plasmodiasis</t>
  </si>
  <si>
    <t>MF,urti</t>
  </si>
  <si>
    <t>newly diagnosed Htn</t>
  </si>
  <si>
    <t>T.capitis</t>
  </si>
  <si>
    <t>?early cyesis</t>
  </si>
  <si>
    <t>malaria and gastritis</t>
  </si>
  <si>
    <t xml:space="preserve">SUBFERTILITY </t>
  </si>
  <si>
    <t>myalgia, R/O VOC</t>
  </si>
  <si>
    <t>allergic bronchitis</t>
  </si>
  <si>
    <t>VOC(MILD)</t>
  </si>
  <si>
    <t>ADDx</t>
  </si>
  <si>
    <t>?cap</t>
  </si>
  <si>
    <t>kiv ef</t>
  </si>
  <si>
    <t>RTI</t>
  </si>
  <si>
    <t>pharyngitis</t>
  </si>
  <si>
    <t xml:space="preserve"> malaria + urti</t>
  </si>
  <si>
    <t>traumaic parotitis</t>
  </si>
  <si>
    <t xml:space="preserve">?Pyelonephritis </t>
  </si>
  <si>
    <t xml:space="preserve">Food poisioning </t>
  </si>
  <si>
    <t>lower GI Bleeding</t>
  </si>
  <si>
    <t>?cystitis</t>
  </si>
  <si>
    <t>malaria with URTI</t>
  </si>
  <si>
    <t>CCF 2* hypertension</t>
  </si>
  <si>
    <t>?childhood tb r/o CAP</t>
  </si>
  <si>
    <t xml:space="preserve"> MF in  a known pud </t>
  </si>
  <si>
    <t>otitis media</t>
  </si>
  <si>
    <t>poorly controlled bp</t>
  </si>
  <si>
    <t>malaria with helmenthiasis</t>
  </si>
  <si>
    <t>?varricella</t>
  </si>
  <si>
    <t>acute gastritis</t>
  </si>
  <si>
    <t>malaria with enteritis</t>
  </si>
  <si>
    <t>acute malaria with ARI</t>
  </si>
  <si>
    <t>typhoid fever</t>
  </si>
  <si>
    <t>?INTRACRANIAL MASS</t>
  </si>
  <si>
    <t>acute pharyingitis</t>
  </si>
  <si>
    <t xml:space="preserve"> malaria</t>
  </si>
  <si>
    <t>?malaria with pud</t>
  </si>
  <si>
    <t>incomplete abortion</t>
  </si>
  <si>
    <t>same</t>
  </si>
  <si>
    <t xml:space="preserve">urti r/o SAR COV 2 </t>
  </si>
  <si>
    <t>amoebaisis</t>
  </si>
  <si>
    <t>rhesus incompaibility</t>
  </si>
  <si>
    <t>vulvovaginitis in pregnancy</t>
  </si>
  <si>
    <t>?plasmodiasis with b/g pud</t>
  </si>
  <si>
    <t>?mealses</t>
  </si>
  <si>
    <t>? chronic PID</t>
  </si>
  <si>
    <t>gingivitis</t>
  </si>
  <si>
    <t>gastritis with malaria</t>
  </si>
  <si>
    <t>gonorrhea r/o uti</t>
  </si>
  <si>
    <t>?GE</t>
  </si>
  <si>
    <t>bacterial vaginosis</t>
  </si>
  <si>
    <t>? MF</t>
  </si>
  <si>
    <t>EF?</t>
  </si>
  <si>
    <t>acue malaria</t>
  </si>
  <si>
    <t>conjuctiviits</t>
  </si>
  <si>
    <t xml:space="preserve"> MF</t>
  </si>
  <si>
    <t>?torticolis</t>
  </si>
  <si>
    <t>bilateral gynecomastia</t>
  </si>
  <si>
    <t>kiv pubertal gynecomastia</t>
  </si>
  <si>
    <t>enteritis</t>
  </si>
  <si>
    <t>?angina</t>
  </si>
  <si>
    <t>POORLY CONTROL BP</t>
  </si>
  <si>
    <t>stable</t>
  </si>
  <si>
    <t xml:space="preserve">lactitional mastitis </t>
  </si>
  <si>
    <t>hypertensive emergency on background hypertensive heart disease</t>
  </si>
  <si>
    <t>SCABIES</t>
  </si>
  <si>
    <t xml:space="preserve">mastiis ? cause </t>
  </si>
  <si>
    <t>Acute plasmodiasis</t>
  </si>
  <si>
    <t>malaria with gastritis</t>
  </si>
  <si>
    <t>fair BP control with malaria</t>
  </si>
  <si>
    <t>malaria with pharyngitis</t>
  </si>
  <si>
    <t>urti kiv malaria</t>
  </si>
  <si>
    <t>?? asthma</t>
  </si>
  <si>
    <t>urethritis</t>
  </si>
  <si>
    <t xml:space="preserve">PIH R/O PREEECLAMPSIA </t>
  </si>
  <si>
    <t>otiis media</t>
  </si>
  <si>
    <t xml:space="preserve">pid </t>
  </si>
  <si>
    <t>gstritis</t>
  </si>
  <si>
    <t>P U D</t>
  </si>
  <si>
    <t>threatened abortion</t>
  </si>
  <si>
    <t>bells palsy</t>
  </si>
  <si>
    <t>allergic bronchopneumonia</t>
  </si>
  <si>
    <t>STI</t>
  </si>
  <si>
    <t>urticaria</t>
  </si>
  <si>
    <t>? lumbar spondylosis</t>
  </si>
  <si>
    <t>helmenthiasis</t>
  </si>
  <si>
    <t>malaria kiv pcos</t>
  </si>
  <si>
    <t>r/o early cyesis</t>
  </si>
  <si>
    <t xml:space="preserve">?urticaria </t>
  </si>
  <si>
    <t>Paraesthesia ? cause</t>
  </si>
  <si>
    <t>AGE</t>
  </si>
  <si>
    <t>impetigo</t>
  </si>
  <si>
    <t>T.cruris</t>
  </si>
  <si>
    <t>?hyperuriceamia</t>
  </si>
  <si>
    <t>herpes zoster</t>
  </si>
  <si>
    <t>vaginal candidiasis with urti</t>
  </si>
  <si>
    <t>? BPH</t>
  </si>
  <si>
    <t>? uti</t>
  </si>
  <si>
    <t>?malaria IN PREGANCY</t>
  </si>
  <si>
    <t>ADD</t>
  </si>
  <si>
    <t>kiv mf</t>
  </si>
  <si>
    <t>malaria in a known sca</t>
  </si>
  <si>
    <t>urti wih mf r/o ef</t>
  </si>
  <si>
    <t>?ingrowth nail</t>
  </si>
  <si>
    <t>acute pharyngotonsilitis   kiv malaria</t>
  </si>
  <si>
    <t>simle BPN</t>
  </si>
  <si>
    <t>?lumbarspondylosis with b/g pud</t>
  </si>
  <si>
    <t>cystitis</t>
  </si>
  <si>
    <t>good BP control with ? hyperuriceamia</t>
  </si>
  <si>
    <t>genital wart</t>
  </si>
  <si>
    <t>myalgia</t>
  </si>
  <si>
    <t>cyesis</t>
  </si>
  <si>
    <t>hyperglycemic symptoms in a kn DM</t>
  </si>
  <si>
    <t>gastriti</t>
  </si>
  <si>
    <t>hematochezia ? cause</t>
  </si>
  <si>
    <t>malaria + ARI in pregnancy</t>
  </si>
  <si>
    <t xml:space="preserve">? Hyperthyriod state </t>
  </si>
  <si>
    <t xml:space="preserve">plasmodiasis </t>
  </si>
  <si>
    <t>/malaria</t>
  </si>
  <si>
    <t>lumbar spondolysis</t>
  </si>
  <si>
    <t>?malaria with good bp control</t>
  </si>
  <si>
    <t>malaria fever</t>
  </si>
  <si>
    <t>BPN</t>
  </si>
  <si>
    <t>BPH</t>
  </si>
  <si>
    <t>malaria with enteriis</t>
  </si>
  <si>
    <t xml:space="preserve">?cyesis </t>
  </si>
  <si>
    <t>bilateral otitis media</t>
  </si>
  <si>
    <t xml:space="preserve">DM </t>
  </si>
  <si>
    <t>? pid in preg</t>
  </si>
  <si>
    <t>?EARLY labourlike pains</t>
  </si>
  <si>
    <t>malaria with poorly controlled bp</t>
  </si>
  <si>
    <t>?# ? Dislocation</t>
  </si>
  <si>
    <t xml:space="preserve">R/O Upper GI bleeding </t>
  </si>
  <si>
    <t xml:space="preserve">uti in eldrly </t>
  </si>
  <si>
    <t xml:space="preserve"> GE</t>
  </si>
  <si>
    <t>vulvovaginitis kiv vaginal candidiasis</t>
  </si>
  <si>
    <t>acute excercerbation of pud</t>
  </si>
  <si>
    <t xml:space="preserve">urti in pregnancy </t>
  </si>
  <si>
    <t xml:space="preserve">?enteric fever </t>
  </si>
  <si>
    <t>measles</t>
  </si>
  <si>
    <t>gastroenteritis with malaria</t>
  </si>
  <si>
    <t>enteric fever kiv malaria</t>
  </si>
  <si>
    <t>malaria with taenia capitis</t>
  </si>
  <si>
    <t>r/o meningitis</t>
  </si>
  <si>
    <t>urti with Malaria</t>
  </si>
  <si>
    <t>otitis externa</t>
  </si>
  <si>
    <t xml:space="preserve">PPCF </t>
  </si>
  <si>
    <t>AGN r/o nephrotic syndrome</t>
  </si>
  <si>
    <t>hypertensive emergency</t>
  </si>
  <si>
    <t>intra-abdominal tumor r/o ovarian tumor</t>
  </si>
  <si>
    <t>maalria</t>
  </si>
  <si>
    <t>?SPONANEOAUS abortion</t>
  </si>
  <si>
    <t>allergic conjuctivities</t>
  </si>
  <si>
    <t>Allergic conjuctivitis</t>
  </si>
  <si>
    <t>gastriis</t>
  </si>
  <si>
    <t>? EF + MF</t>
  </si>
  <si>
    <t>hydrocoele</t>
  </si>
  <si>
    <t>urtis</t>
  </si>
  <si>
    <t>BVHF with hepatic congestion</t>
  </si>
  <si>
    <t>DCM in HF( echo confirmed)</t>
  </si>
  <si>
    <t>PPCM</t>
  </si>
  <si>
    <t>renal calculi left</t>
  </si>
  <si>
    <t>malaria in pregnancy</t>
  </si>
  <si>
    <t>CAP</t>
  </si>
  <si>
    <t>recurrrent malaria</t>
  </si>
  <si>
    <t>pid</t>
  </si>
  <si>
    <t>?impetigo</t>
  </si>
  <si>
    <t xml:space="preserve">right index finger injury 2o cat bite </t>
  </si>
  <si>
    <t>impacted cerumen</t>
  </si>
  <si>
    <t>?sciatica</t>
  </si>
  <si>
    <t xml:space="preserve">headche </t>
  </si>
  <si>
    <t>dermaitis</t>
  </si>
  <si>
    <t>acute malaria kiv UTI</t>
  </si>
  <si>
    <t>braxton hicks contaction</t>
  </si>
  <si>
    <t>kiv threatened abortion</t>
  </si>
  <si>
    <t>malaria with b/g PUD</t>
  </si>
  <si>
    <t>pud with 2nd degree pile</t>
  </si>
  <si>
    <t>?uti in pregnancy</t>
  </si>
  <si>
    <t>sinusitis</t>
  </si>
  <si>
    <t>malaria with b/g dm</t>
  </si>
  <si>
    <t>malaria and gatritis</t>
  </si>
  <si>
    <t>pharyngotonsilitis with malaria</t>
  </si>
  <si>
    <t>malaise</t>
  </si>
  <si>
    <t>?cyesis</t>
  </si>
  <si>
    <t>cystitis with left sided pyelonephritis</t>
  </si>
  <si>
    <t>?EF</t>
  </si>
  <si>
    <t xml:space="preserve">mf </t>
  </si>
  <si>
    <t>urti  + MF</t>
  </si>
  <si>
    <t>malari</t>
  </si>
  <si>
    <t xml:space="preserve">Pneumonia in pregnancy </t>
  </si>
  <si>
    <t xml:space="preserve">Allergic Conjunctivitis </t>
  </si>
  <si>
    <t>astritis</t>
  </si>
  <si>
    <t>hyperuriceamia kiv DM</t>
  </si>
  <si>
    <t>Taenia cruris</t>
  </si>
  <si>
    <t>PUP</t>
  </si>
  <si>
    <t>simple bpn</t>
  </si>
  <si>
    <t>malaria in a known sca px</t>
  </si>
  <si>
    <t>?allergic bronchitis</t>
  </si>
  <si>
    <t>?enteric fever</t>
  </si>
  <si>
    <t>poorly treat MF</t>
  </si>
  <si>
    <t>osteomyelitis+ avascular necrosis of rt femur</t>
  </si>
  <si>
    <t>malaria with vaginal candidiasis</t>
  </si>
  <si>
    <t>dermatosis</t>
  </si>
  <si>
    <t>malaria with pud</t>
  </si>
  <si>
    <t>malaria wih enteriis</t>
  </si>
  <si>
    <t xml:space="preserve">? hepatitis </t>
  </si>
  <si>
    <t>trauma to the left upper eye lid</t>
  </si>
  <si>
    <t>poor BP control</t>
  </si>
  <si>
    <t>Good blood pressure control</t>
  </si>
  <si>
    <t>RVHDx</t>
  </si>
  <si>
    <t>malaria with febrile convulsion</t>
  </si>
  <si>
    <t>R/O seizure disorder</t>
  </si>
  <si>
    <t>? inesinal obstrucion</t>
  </si>
  <si>
    <t xml:space="preserve">? intraabdominal malagninacy </t>
  </si>
  <si>
    <t>?CLD</t>
  </si>
  <si>
    <t xml:space="preserve">Extrapulmonary TB ,?Abbomen </t>
  </si>
  <si>
    <t>KIV RVD</t>
  </si>
  <si>
    <t>atopic dermatitis</t>
  </si>
  <si>
    <t>strabismus</t>
  </si>
  <si>
    <t>pud + uti</t>
  </si>
  <si>
    <t>Hypertensive heart disease</t>
  </si>
  <si>
    <t>Acute plasmodiasis with poor htnsive drug cmpliance</t>
  </si>
  <si>
    <t>recurrent malaria with urti</t>
  </si>
  <si>
    <t>pud with Tinea cruris</t>
  </si>
  <si>
    <t>pharyngotonsilitis</t>
  </si>
  <si>
    <t>folicilitis</t>
  </si>
  <si>
    <t>umbilical hernia</t>
  </si>
  <si>
    <t>acute gastritis and malaria</t>
  </si>
  <si>
    <t>?RPOC</t>
  </si>
  <si>
    <t>food intoxication</t>
  </si>
  <si>
    <t>newly diagnosed asthma</t>
  </si>
  <si>
    <t>malaria and pharyngitis</t>
  </si>
  <si>
    <t>otitismedia</t>
  </si>
  <si>
    <t xml:space="preserve">p[oorly treaed malaria </t>
  </si>
  <si>
    <t xml:space="preserve">? cystits </t>
  </si>
  <si>
    <t>Amenorrhea ? cyesis ? plasmodiasis</t>
  </si>
  <si>
    <t>resistantmalaria</t>
  </si>
  <si>
    <t>recurrent malaria with newly hypertensive</t>
  </si>
  <si>
    <t>mumps</t>
  </si>
  <si>
    <t>?enteritis</t>
  </si>
  <si>
    <t>MF in pregnancy</t>
  </si>
  <si>
    <t>?left hydrocele</t>
  </si>
  <si>
    <t>acute dystonia</t>
  </si>
  <si>
    <t>right sided dystonia</t>
  </si>
  <si>
    <t>Poorly treated EF and MF</t>
  </si>
  <si>
    <t>primary infertility</t>
  </si>
  <si>
    <t>yphoidT</t>
  </si>
  <si>
    <t xml:space="preserve">gastritis </t>
  </si>
  <si>
    <t>r/o: kidney disease</t>
  </si>
  <si>
    <t>uti kiv malaria</t>
  </si>
  <si>
    <t>pud with ?cervical spondylosis</t>
  </si>
  <si>
    <t>Primary infertillity r/o tubal factors</t>
  </si>
  <si>
    <t>good BP control</t>
  </si>
  <si>
    <t>? Severe MF R/o EF</t>
  </si>
  <si>
    <t>?acute appendicitis</t>
  </si>
  <si>
    <t>know DM and HTN</t>
  </si>
  <si>
    <t>?pharyngitis</t>
  </si>
  <si>
    <t>acute exercabation of pud</t>
  </si>
  <si>
    <t>ARI with malaria</t>
  </si>
  <si>
    <t>?faty liver disease (Non Alcoholic fatty liver disease )</t>
  </si>
  <si>
    <t>Mastitis</t>
  </si>
  <si>
    <t>? Normal cyesis with breech at term</t>
  </si>
  <si>
    <t>malaria with diarrheaol disease</t>
  </si>
  <si>
    <t>? plasmodiasis</t>
  </si>
  <si>
    <t>2nd detgree uv prolapse</t>
  </si>
  <si>
    <t>urti with dyspepsia</t>
  </si>
  <si>
    <t>UR T I</t>
  </si>
  <si>
    <t>pud WITH MALARIA IN PREGANCY</t>
  </si>
  <si>
    <t>acute malarai</t>
  </si>
  <si>
    <t>?impacted cerumen</t>
  </si>
  <si>
    <t>hypertension</t>
  </si>
  <si>
    <t>?DM</t>
  </si>
  <si>
    <t>aute malaria</t>
  </si>
  <si>
    <t>second trimester cyesis</t>
  </si>
  <si>
    <t>left hmispheric stroke with right hemiparesis</t>
  </si>
  <si>
    <t>likely ischaemic</t>
  </si>
  <si>
    <t>GCS</t>
  </si>
  <si>
    <t>?Otitis  media</t>
  </si>
  <si>
    <t>kiv angina</t>
  </si>
  <si>
    <t>Lumbar spondylisis</t>
  </si>
  <si>
    <t>acute gastritis with malaria</t>
  </si>
  <si>
    <t>malaria fevr</t>
  </si>
  <si>
    <t xml:space="preserve">menorrhagia </t>
  </si>
  <si>
    <t>oligommennorhoea with sec i8nfertility to r/o PCOS</t>
  </si>
  <si>
    <t>early cyesis + vaginal candidisis</t>
  </si>
  <si>
    <t>?right sided pyelonephritis r/o appendicitis</t>
  </si>
  <si>
    <t>acute malaria with gastritis</t>
  </si>
  <si>
    <t>recurrent</t>
  </si>
  <si>
    <t>allergic bronchitis with dermatosis KIV SCABIES</t>
  </si>
  <si>
    <t xml:space="preserve">?plasmodiasis in elderly </t>
  </si>
  <si>
    <t xml:space="preserve">sign of end organ damage in a non compliant htnsive  patient </t>
  </si>
  <si>
    <t>allergic dermatitis</t>
  </si>
  <si>
    <t>deep pelvic pain</t>
  </si>
  <si>
    <t>grade 2 hypertension</t>
  </si>
  <si>
    <t>?helminthiasis r/o enteric fever</t>
  </si>
  <si>
    <t>?obesity</t>
  </si>
  <si>
    <t>sensory somatization</t>
  </si>
  <si>
    <t>headache ? cause</t>
  </si>
  <si>
    <t>RX failure (plasmodiasis)</t>
  </si>
  <si>
    <t>vulvovaginitis r/o uti in pregnancy</t>
  </si>
  <si>
    <t>epitaxis</t>
  </si>
  <si>
    <t>HHDx r/o Arrythmia</t>
  </si>
  <si>
    <t>acute exercerbation of pud</t>
  </si>
  <si>
    <t>newly diagnosed  htn</t>
  </si>
  <si>
    <t>stable bp</t>
  </si>
  <si>
    <t>malaria kiv eneric fever</t>
  </si>
  <si>
    <t>malaria/ urti</t>
  </si>
  <si>
    <t>right pyelonephritis</t>
  </si>
  <si>
    <t>kiv plasmodiasis</t>
  </si>
  <si>
    <t>left sided heart failure in a htnsive non compliance</t>
  </si>
  <si>
    <t>opthalmic neonatorum</t>
  </si>
  <si>
    <t>acute pharyngotonsilitis</t>
  </si>
  <si>
    <t>poorly comtrolled hypertension with gastritis</t>
  </si>
  <si>
    <t>malaria wih pud</t>
  </si>
  <si>
    <t>good BP control with ?ADR</t>
  </si>
  <si>
    <t>exacerbation of bronchial asthma</t>
  </si>
  <si>
    <t>vulvovaginitis</t>
  </si>
  <si>
    <t>keloid</t>
  </si>
  <si>
    <t>?uti</t>
  </si>
  <si>
    <t xml:space="preserve">allergic dermatitis </t>
  </si>
  <si>
    <t>resisitant malaria</t>
  </si>
  <si>
    <t>poorly controlled bp with malaria</t>
  </si>
  <si>
    <t>periumblical abscess</t>
  </si>
  <si>
    <t>ASHMED INTEGRATED (PUBLIC)</t>
  </si>
  <si>
    <t>Age</t>
  </si>
  <si>
    <t>Years old</t>
  </si>
  <si>
    <t>Year old</t>
  </si>
  <si>
    <t>Companies</t>
  </si>
  <si>
    <t>IBM Electrical Services</t>
  </si>
  <si>
    <t>AHMADU BELLO UNIVERSITY ABU Zaria</t>
  </si>
  <si>
    <t>Afws Global Technology Limited</t>
  </si>
  <si>
    <t>AHMADU BELLO UNIVERSITY MICROFINANCE BANK LIMITED</t>
  </si>
  <si>
    <t>Institute For Agriculture Research, Ahmadu Bello University</t>
  </si>
  <si>
    <t>ABUTH TEACHING HOSPITAL (SHIKA)</t>
  </si>
  <si>
    <t>FEDERAL COLLEGE OF EDUCATION (FCE)</t>
  </si>
  <si>
    <t xml:space="preserve">NUHU BAMALI POLYTECHNIC </t>
  </si>
  <si>
    <t>Access Bank Plc Zaria Branch, River Rd</t>
  </si>
  <si>
    <t>Zenith Bank Plc</t>
  </si>
  <si>
    <t>FCMB ZARIA BRANCH</t>
  </si>
  <si>
    <t>Keystone Bank</t>
  </si>
  <si>
    <t>Diamond Bank</t>
  </si>
  <si>
    <t>First Bank - Zaria Branch</t>
  </si>
  <si>
    <t>Unity Bank - Main Street Zaria Branch</t>
  </si>
  <si>
    <t>First City Monument Bank</t>
  </si>
  <si>
    <t>Guaranty Trust Bank (Nigeria)</t>
  </si>
  <si>
    <t>Stanbic IBTC Bank</t>
  </si>
  <si>
    <t>National Research Institute For Chemical Technolog</t>
  </si>
  <si>
    <t>Fidelity Bank Plc</t>
  </si>
  <si>
    <t>Kaduna State Government</t>
  </si>
  <si>
    <t>Standard Bank Group</t>
  </si>
  <si>
    <t>Nigerian College of Aviation Technology</t>
  </si>
  <si>
    <t>Union Bank of Nigeria</t>
  </si>
  <si>
    <t>Nigerian Postal Service</t>
  </si>
  <si>
    <t>Natview Foundation for Technology Innovation</t>
  </si>
  <si>
    <t>Air Force Institute of Technology(Nigeria)</t>
  </si>
  <si>
    <t>Ministry of Health Kaduna State</t>
  </si>
  <si>
    <t>Nigerian National Petroleum</t>
  </si>
  <si>
    <t>SHELL Oil &amp; Gas Exploration &amp; Production</t>
  </si>
  <si>
    <t>Dr's Names</t>
  </si>
  <si>
    <t xml:space="preserve">Water Board </t>
  </si>
  <si>
    <t>NNPC / PPMC LTD</t>
  </si>
  <si>
    <t>Dr. Abdulazeez Umar (Rheumatologist)</t>
  </si>
  <si>
    <t>Dr. Peter (Opthamologist)</t>
  </si>
  <si>
    <t>Dr. Solomon Amos (Paediatrician)</t>
  </si>
  <si>
    <t>Dr. Orugwu (Opthamologist)</t>
  </si>
  <si>
    <t>Dr. Okeme (Anastesia Nurse)</t>
  </si>
  <si>
    <t>Dr. Bakari (Gyneacologist)</t>
  </si>
  <si>
    <t>Dr. Lolo (Obstetrician)</t>
  </si>
  <si>
    <t>Jaiz Bank PLC</t>
  </si>
  <si>
    <t>Dangote LTD</t>
  </si>
  <si>
    <t>Hospitals</t>
  </si>
  <si>
    <t>ABUTH Teaching Hospital (SHIKA)</t>
  </si>
  <si>
    <t>Salama Hospitals</t>
  </si>
  <si>
    <t>Ashmed Specialist Hosptial</t>
  </si>
  <si>
    <t>ABUTH Teaching Hospital (TUDUN WADA)</t>
  </si>
  <si>
    <t>Institute of Child Health, ABUTH</t>
  </si>
  <si>
    <t>ABUTH Teaching Hospital (Madarkachi Annex)</t>
  </si>
  <si>
    <t>Zaria Clinic and Medical Center</t>
  </si>
  <si>
    <t>Anna-Kitch Medical Centre Zaria</t>
  </si>
  <si>
    <t>Hikmah Hospital</t>
  </si>
  <si>
    <t>Jama'a Hospital</t>
  </si>
  <si>
    <t>Rahama Clinic and Maternity</t>
  </si>
  <si>
    <t>Gyellesu Maternity and Nursing Home</t>
  </si>
  <si>
    <t>ST. Lukes Anglican Hospital Wusasa</t>
  </si>
  <si>
    <t>City College of Health Science and Technology, Zaria</t>
  </si>
  <si>
    <t>St. Gerard Catholic Hospital</t>
  </si>
  <si>
    <t>Primary Health Care Center</t>
  </si>
  <si>
    <t>Usmaniyya Hospital</t>
  </si>
  <si>
    <t>Muslim Specialist Hospital</t>
  </si>
  <si>
    <t>Kanfage Hospital &amp; Material</t>
  </si>
  <si>
    <t>Pal Hospital</t>
  </si>
  <si>
    <t>University Medical Centre, ABU Samaru SICKBAY (mainCampus)</t>
  </si>
  <si>
    <t>University Medical Centre, ABU Kongo SICKBAY (Kongo)</t>
  </si>
  <si>
    <t>Afuwa Specialist Hospital</t>
  </si>
  <si>
    <t>Tama Specialist Hospital</t>
  </si>
  <si>
    <t>Hajiya Gambo Sawaba General Hospital</t>
  </si>
  <si>
    <t>Yusra Specialist Hospital</t>
  </si>
  <si>
    <t>Aminci Special Hospital &amp; Maternity</t>
  </si>
  <si>
    <t>Ikon Allah Hospital</t>
  </si>
  <si>
    <t>Saidu Dange Railway Hospital</t>
  </si>
  <si>
    <t>Jakara Clinic, Zaria</t>
  </si>
  <si>
    <t>Loryb Eye Clinic</t>
  </si>
  <si>
    <t>Mends Specialist Hospital</t>
  </si>
  <si>
    <t>Dr. Ochogwu Peter (G.P)</t>
  </si>
  <si>
    <t>Dr. Abdulkadir Surraqh (G.P)</t>
  </si>
  <si>
    <t>Dr. Abdulmajid Oyibo (G.P)</t>
  </si>
  <si>
    <t>Dr. Solomon Idokoko (G.P)</t>
  </si>
  <si>
    <t>Dr. Emmanuel Onyema (G.P)</t>
  </si>
  <si>
    <t>Dr. Ondu. Agem Christopher (G.P)</t>
  </si>
  <si>
    <t>Dr. Ali Abu (G.P)</t>
  </si>
  <si>
    <t>Dr. Fanika (G.P)</t>
  </si>
  <si>
    <t>HMO CODE</t>
  </si>
  <si>
    <t>RAUTHAGE HMO (PRIVATE)</t>
  </si>
  <si>
    <t>HALLMARK HMO (PRIVATE)</t>
  </si>
  <si>
    <t>STERNLING HMO (PRIVATE)</t>
  </si>
  <si>
    <t>HYGEIA HMO LIMITED (PRIVATE)</t>
  </si>
  <si>
    <t>MEDI PLAN HEALTH CARE LIMITED (PRIVATE)</t>
  </si>
  <si>
    <t>PREMIUM HEALTH LTD (PRIVATE)</t>
  </si>
  <si>
    <t>INTEGRATED HEALTHCARE LTD (PRIVATE)</t>
  </si>
  <si>
    <t>PREPAID MEDICARE (PRIVATE)</t>
  </si>
  <si>
    <t>PRECIOUS HEALTHCARE LIMITED (PRIVATE)</t>
  </si>
  <si>
    <t>MARINA MEDICAL SERV. HMO LTD (PRIVATE)</t>
  </si>
  <si>
    <t>HEALTHSTONE HMO (PRIVATE)</t>
  </si>
  <si>
    <t>GUARDIAN HEALTHCARE LTD (PRIVATE)</t>
  </si>
  <si>
    <t>REGENIX HEALTH CARE SERVICE LIMITED (PRIVATE)</t>
  </si>
  <si>
    <t>LIFE WORTH HMO (PRIVATE)</t>
  </si>
  <si>
    <t>PRIVATE HMO's</t>
  </si>
  <si>
    <t>KACHMA (PUBLIC)</t>
  </si>
  <si>
    <t>PREMIUM HEALTH LTD (PUBLIC)</t>
  </si>
  <si>
    <t>AREWA HEALTH MAINTENANCE SERVICES (PUBLIC)</t>
  </si>
  <si>
    <t>MARKFEMA NIGERIA LTD.  (PUBLIC)</t>
  </si>
  <si>
    <t>COMPLETE MEDICARE LTD (PUBLIC)</t>
  </si>
  <si>
    <t>SAHEL HEALTH TRUST (PUBLIC)</t>
  </si>
  <si>
    <t>GUARDIAN HEALTHCARE LTD (PUBLIC)</t>
  </si>
  <si>
    <t>AVON HEALTHCARE LIMITED (PUBLIC)</t>
  </si>
  <si>
    <t>GREENFIELD H.C MANAGEMENT LTD (PUBLIC)</t>
  </si>
  <si>
    <t>PUBLIC HMO's</t>
  </si>
  <si>
    <t>001</t>
  </si>
  <si>
    <t>002</t>
  </si>
  <si>
    <t>003</t>
  </si>
  <si>
    <t>004</t>
  </si>
  <si>
    <t>005</t>
  </si>
  <si>
    <t>006</t>
  </si>
  <si>
    <t>007</t>
  </si>
  <si>
    <t>008</t>
  </si>
  <si>
    <t>010</t>
  </si>
  <si>
    <t>011</t>
  </si>
  <si>
    <t>012</t>
  </si>
  <si>
    <t>013</t>
  </si>
  <si>
    <t>014</t>
  </si>
  <si>
    <t>015</t>
  </si>
  <si>
    <t>016</t>
  </si>
  <si>
    <t>017</t>
  </si>
  <si>
    <t>018</t>
  </si>
  <si>
    <t>019</t>
  </si>
  <si>
    <t>020</t>
  </si>
  <si>
    <t>021</t>
  </si>
  <si>
    <t>022</t>
  </si>
  <si>
    <t>023</t>
  </si>
  <si>
    <t>024</t>
  </si>
  <si>
    <t>027</t>
  </si>
  <si>
    <t>028</t>
  </si>
  <si>
    <t>029</t>
  </si>
  <si>
    <t>030</t>
  </si>
  <si>
    <t>036</t>
  </si>
  <si>
    <t>037</t>
  </si>
  <si>
    <t>041</t>
  </si>
  <si>
    <t>042</t>
  </si>
  <si>
    <t>051</t>
  </si>
  <si>
    <t>055</t>
  </si>
  <si>
    <t>056</t>
  </si>
  <si>
    <t>059</t>
  </si>
  <si>
    <t>061</t>
  </si>
  <si>
    <t>063</t>
  </si>
  <si>
    <t>064</t>
  </si>
  <si>
    <t>073</t>
  </si>
  <si>
    <t>074</t>
  </si>
  <si>
    <t>076</t>
  </si>
  <si>
    <t>078</t>
  </si>
  <si>
    <t>035</t>
  </si>
  <si>
    <t>039</t>
  </si>
  <si>
    <t>048</t>
  </si>
  <si>
    <t>052</t>
  </si>
  <si>
    <t>054</t>
  </si>
  <si>
    <t>057</t>
  </si>
  <si>
    <t>060</t>
  </si>
  <si>
    <t>069</t>
  </si>
  <si>
    <t>077</t>
  </si>
  <si>
    <t>079</t>
  </si>
  <si>
    <t>HMO Name</t>
  </si>
  <si>
    <t>Hmo Code</t>
  </si>
  <si>
    <t>089</t>
  </si>
  <si>
    <t>Almadina Clinic (Primary) - KD/0112-P</t>
  </si>
  <si>
    <t>GNI HMO (PRIVATE)</t>
  </si>
  <si>
    <t>000</t>
  </si>
  <si>
    <t>Avon - Last Date</t>
  </si>
  <si>
    <t>Avon - First Day</t>
  </si>
  <si>
    <t>034</t>
  </si>
  <si>
    <t>065</t>
  </si>
  <si>
    <t>086</t>
  </si>
  <si>
    <t>093</t>
  </si>
  <si>
    <t>S/N</t>
  </si>
  <si>
    <t>HMO's with Portal</t>
  </si>
  <si>
    <t>Code</t>
  </si>
  <si>
    <t>January</t>
  </si>
  <si>
    <t>February</t>
  </si>
  <si>
    <t>March</t>
  </si>
  <si>
    <t>April</t>
  </si>
  <si>
    <t>May</t>
  </si>
  <si>
    <t>June</t>
  </si>
  <si>
    <t>July</t>
  </si>
  <si>
    <t>September</t>
  </si>
  <si>
    <t>October</t>
  </si>
  <si>
    <t>November</t>
  </si>
  <si>
    <t>December</t>
  </si>
  <si>
    <t>Month</t>
  </si>
  <si>
    <t>FIRST BANK (PRIVATE</t>
  </si>
  <si>
    <t>LEADWAY HMO (PRIVATE)</t>
  </si>
  <si>
    <t>Admin</t>
  </si>
  <si>
    <t>Email Adresses</t>
  </si>
  <si>
    <t>Almadinacliniczaria@gmail.com</t>
  </si>
  <si>
    <t>JosiahEmmy@gmail.com</t>
  </si>
  <si>
    <t>Dantunku@gmail.com</t>
  </si>
  <si>
    <t>Notes (Dashboard)</t>
  </si>
  <si>
    <t>Current User (Display Name):</t>
  </si>
  <si>
    <t>Current User (Full Name):</t>
  </si>
  <si>
    <t>Last seen by Current User</t>
  </si>
  <si>
    <t>For portal</t>
  </si>
  <si>
    <t>For Report Indicators</t>
  </si>
  <si>
    <t>S/No</t>
  </si>
  <si>
    <t>Hmo Name</t>
  </si>
  <si>
    <t>Enrollee Name</t>
  </si>
  <si>
    <t>Company Name</t>
  </si>
  <si>
    <t>Referred From</t>
  </si>
  <si>
    <t>NHIS No.</t>
  </si>
  <si>
    <t>Authorisation Code</t>
  </si>
  <si>
    <t>Public/Private HMO</t>
  </si>
  <si>
    <t>Date of Transaction</t>
  </si>
  <si>
    <t>Date of Admission</t>
  </si>
  <si>
    <t>Date of Discharge</t>
  </si>
  <si>
    <t>Dr's Name</t>
  </si>
  <si>
    <t>Specialist Name</t>
  </si>
  <si>
    <t>Presenting Complaints</t>
  </si>
  <si>
    <t>Patients Contact/Address</t>
  </si>
  <si>
    <t>In/Out-patient</t>
  </si>
  <si>
    <t>Authorizing Officer</t>
  </si>
  <si>
    <t>Date of Entry</t>
  </si>
  <si>
    <t>Morenike Double</t>
  </si>
  <si>
    <t>mos32348</t>
  </si>
  <si>
    <t>2o30</t>
  </si>
  <si>
    <t>PRIVATE HMO</t>
  </si>
  <si>
    <t>NIL</t>
  </si>
  <si>
    <t>ddjoeiwjw foijweofij</t>
  </si>
  <si>
    <t>moewieu</t>
  </si>
  <si>
    <t>2mo2</t>
  </si>
  <si>
    <t>ow3i2</t>
  </si>
  <si>
    <t>o2i3j</t>
  </si>
  <si>
    <t>mownfio</t>
  </si>
  <si>
    <t>moweiw823</t>
  </si>
  <si>
    <t>j20239</t>
  </si>
  <si>
    <t>39 Years old</t>
  </si>
  <si>
    <t>o203928</t>
  </si>
  <si>
    <t>d209382998u</t>
  </si>
  <si>
    <t>984u9f29j</t>
  </si>
  <si>
    <t>PUBLIC HMO</t>
  </si>
  <si>
    <t>jso209830</t>
  </si>
  <si>
    <t>ndowew ewoj</t>
  </si>
  <si>
    <t>oweiwj</t>
  </si>
  <si>
    <t>42930mee</t>
  </si>
  <si>
    <t>15-01-22 13:52:16</t>
  </si>
  <si>
    <t>j29405</t>
  </si>
  <si>
    <t>15-01-22 13:52:57</t>
  </si>
  <si>
    <t>35 years old</t>
  </si>
  <si>
    <t>19-01-2022</t>
  </si>
  <si>
    <t>15-01-22 14:03:30</t>
  </si>
  <si>
    <t>Maoo ojwejf</t>
  </si>
  <si>
    <t>oweif</t>
  </si>
  <si>
    <t>oiwejfoij</t>
  </si>
  <si>
    <t>wweofiwj</t>
  </si>
  <si>
    <t>jewofi</t>
  </si>
  <si>
    <t>weofij</t>
  </si>
  <si>
    <t>wiefj</t>
  </si>
  <si>
    <t>owejfoi</t>
  </si>
  <si>
    <t>jweoi</t>
  </si>
  <si>
    <t>dslfj</t>
  </si>
  <si>
    <t>Sklf</t>
  </si>
  <si>
    <t>owefj</t>
  </si>
  <si>
    <t>weo</t>
  </si>
  <si>
    <t>15-01-22 14:08:26</t>
  </si>
  <si>
    <t>mowoefij</t>
  </si>
  <si>
    <t>woejwoir</t>
  </si>
  <si>
    <t>oejro</t>
  </si>
  <si>
    <t>ioi</t>
  </si>
  <si>
    <t>weoiu</t>
  </si>
  <si>
    <t>weoi</t>
  </si>
  <si>
    <t>oieuw</t>
  </si>
  <si>
    <t>jjsoiee</t>
  </si>
  <si>
    <t>15-01-22 14:10:11</t>
  </si>
  <si>
    <t>kjewfoij</t>
  </si>
  <si>
    <t>lfksdk</t>
  </si>
  <si>
    <t>owiejfo</t>
  </si>
  <si>
    <t>ijweoifj</t>
  </si>
  <si>
    <t>wioej</t>
  </si>
  <si>
    <t>woej</t>
  </si>
  <si>
    <t>o</t>
  </si>
  <si>
    <t>iwjei</t>
  </si>
  <si>
    <t>weijwi</t>
  </si>
  <si>
    <t>woie</t>
  </si>
  <si>
    <t>weij</t>
  </si>
  <si>
    <t>15-01-22 14:10:37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</si>
</sst>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dd/mmmm/yyyy\ hh:mm\ AM/PM"/>
    <numFmt numFmtId="165" formatCode="dd\-mm\-yyyy\ hh:mm"/>
  </numFmts>
  <fonts count="5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0"/>
      <name val="Calibri"/>
      <family val="2"/>
      <scheme val="minor"/>
    </font>
    <font>
      <sz val="10"/>
      <color rgb="FF000000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theme="2" tint="-0.499984740745262"/>
        <bgColor indexed="64"/>
      </patternFill>
    </fill>
    <fill>
      <patternFill patternType="solid">
        <fgColor theme="4" tint="-0.49998474074526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4" fillId="0" borderId="0"/>
  </cellStyleXfs>
  <cellXfs count="10">
    <xf numFmtId="0" fontId="0" fillId="0" borderId="0" xfId="0"/>
    <xf numFmtId="15" fontId="0" fillId="0" borderId="0" xfId="0" applyNumberFormat="1"/>
    <xf numFmtId="49" fontId="0" fillId="0" borderId="0" xfId="0" applyNumberFormat="1"/>
    <xf numFmtId="49" fontId="0" fillId="0" borderId="0" xfId="0" quotePrefix="1" applyNumberFormat="1"/>
    <xf numFmtId="0" fontId="0" fillId="0" borderId="0" xfId="0" quotePrefix="1"/>
    <xf numFmtId="14" fontId="0" fillId="0" borderId="0" xfId="0" applyNumberFormat="1"/>
    <xf numFmtId="0" fontId="3" fillId="2" borderId="0" xfId="0" applyFont="1" applyFill="1"/>
    <xf numFmtId="164" fontId="0" fillId="0" borderId="0" xfId="0" applyNumberFormat="1"/>
    <xf numFmtId="0" fontId="0" fillId="3" borderId="0" xfId="0" applyFill="1"/>
    <xf numFmtId="165" fontId="0" fillId="0" borderId="0" xfId="0" applyNumberFormat="1"/>
  </cellXfs>
  <cellStyles count="2">
    <cellStyle name="Normal" xfId="0" builtinId="0"/>
    <cellStyle name="Normal 2" xfId="1" xr:uid="{A802B5D2-6577-4309-A173-DCCE0C974821}"/>
  </cellStyles>
  <dxfs count="0"/>
  <tableStyles count="0" defaultTableStyle="TableStyleMedium2" defaultPivotStyle="PivotStyleLight16"/>
  <colors>
    <mruColors>
      <color rgb="FF65E9F3"/>
      <color rgb="FFFF9900"/>
      <color rgb="FF08080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powerPivotData" Target="model/item.data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238126</xdr:colOff>
      <xdr:row>3</xdr:row>
      <xdr:rowOff>0</xdr:rowOff>
    </xdr:from>
    <xdr:to>
      <xdr:col>9</xdr:col>
      <xdr:colOff>133354</xdr:colOff>
      <xdr:row>12</xdr:row>
      <xdr:rowOff>57150</xdr:rowOff>
    </xdr:to>
    <xdr:sp macro="[0]!showform" textlink="">
      <xdr:nvSpPr>
        <xdr:cNvPr id="2" name="Arrow: Down 1">
          <a:extLst>
            <a:ext uri="{FF2B5EF4-FFF2-40B4-BE49-F238E27FC236}">
              <a16:creationId xmlns:a16="http://schemas.microsoft.com/office/drawing/2014/main" id="{CD333E2A-0880-4405-B908-097E0CAB7700}"/>
            </a:ext>
          </a:extLst>
        </xdr:cNvPr>
        <xdr:cNvSpPr/>
      </xdr:nvSpPr>
      <xdr:spPr>
        <a:xfrm rot="16200000">
          <a:off x="2957515" y="-319089"/>
          <a:ext cx="1771650" cy="3552828"/>
        </a:xfrm>
        <a:prstGeom prst="downArrow">
          <a:avLst/>
        </a:prstGeom>
        <a:effectLst>
          <a:glow rad="139700">
            <a:schemeClr val="accent6">
              <a:lumMod val="50000"/>
              <a:alpha val="40000"/>
            </a:schemeClr>
          </a:glow>
          <a:outerShdw blurRad="609600" dist="38100" dir="16200000" rotWithShape="0">
            <a:schemeClr val="bg2">
              <a:lumMod val="10000"/>
              <a:alpha val="40000"/>
            </a:schemeClr>
          </a:outerShdw>
        </a:effectLst>
        <a:scene3d>
          <a:camera prst="perspectiveAbove" fov="7200000">
            <a:rot lat="20399999" lon="0" rev="0"/>
          </a:camera>
          <a:lightRig rig="threePt" dir="t"/>
        </a:scene3d>
        <a:sp3d extrusionH="76200" prstMaterial="dkEdge">
          <a:bevelT prst="angle"/>
          <a:bevelB w="101600" prst="riblet"/>
          <a:extrusionClr>
            <a:schemeClr val="tx1">
              <a:lumMod val="95000"/>
              <a:lumOff val="5000"/>
            </a:schemeClr>
          </a:extrusionClr>
        </a:sp3d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>
          <a:flatTx/>
        </a:bodyPr>
        <a:lstStyle/>
        <a:p>
          <a:pPr algn="l"/>
          <a:endParaRPr lang="en-US" sz="1100" b="1" cap="none" spc="0">
            <a:ln w="13462">
              <a:solidFill>
                <a:schemeClr val="bg1"/>
              </a:solidFill>
              <a:prstDash val="solid"/>
            </a:ln>
            <a:solidFill>
              <a:schemeClr val="tx1">
                <a:lumMod val="85000"/>
                <a:lumOff val="15000"/>
              </a:schemeClr>
            </a:solidFill>
            <a:effectLst>
              <a:outerShdw dist="38100" dir="2700000" algn="bl" rotWithShape="0">
                <a:schemeClr val="accent5"/>
              </a:outerShdw>
            </a:effectLst>
          </a:endParaRPr>
        </a:p>
      </xdr:txBody>
    </xdr:sp>
    <xdr:clientData/>
  </xdr:twoCellAnchor>
  <xdr:twoCellAnchor>
    <xdr:from>
      <xdr:col>4</xdr:col>
      <xdr:colOff>419100</xdr:colOff>
      <xdr:row>6</xdr:row>
      <xdr:rowOff>133350</xdr:rowOff>
    </xdr:from>
    <xdr:to>
      <xdr:col>7</xdr:col>
      <xdr:colOff>447675</xdr:colOff>
      <xdr:row>9</xdr:row>
      <xdr:rowOff>95250</xdr:rowOff>
    </xdr:to>
    <xdr:sp macro="[0]!showform" textlink="">
      <xdr:nvSpPr>
        <xdr:cNvPr id="3" name="Rectangle 2">
          <a:extLst>
            <a:ext uri="{FF2B5EF4-FFF2-40B4-BE49-F238E27FC236}">
              <a16:creationId xmlns:a16="http://schemas.microsoft.com/office/drawing/2014/main" id="{EC686AE8-670E-48B5-A188-FA280F41B7A7}"/>
            </a:ext>
          </a:extLst>
        </xdr:cNvPr>
        <xdr:cNvSpPr/>
      </xdr:nvSpPr>
      <xdr:spPr>
        <a:xfrm>
          <a:off x="2857500" y="1276350"/>
          <a:ext cx="1857375" cy="5334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0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Record</a:t>
          </a:r>
          <a:r>
            <a:rPr lang="en-US" sz="2000" b="1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Detials</a:t>
          </a:r>
          <a:endParaRPr lang="en-US" sz="20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MasterPublicDatabase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DateChartSupport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sterPublicDatabase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eChartSupport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F25888-89D7-4238-B998-36D6310AB44C}">
  <sheetPr codeName="Sheet1"/>
  <dimension ref="A1"/>
  <sheetViews>
    <sheetView showRowColHeaders="0" tabSelected="1" showRuler="0" workbookViewId="0">
      <selection activeCell="C24" sqref="C24"/>
    </sheetView>
  </sheetViews>
  <sheetFormatPr defaultRowHeight="15" x14ac:dyDescent="0.25"/>
  <cols>
    <col min="1" max="16384" width="9.140625" style="8"/>
  </cols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D2E38-A92B-4093-9382-618DBAE02762}">
  <sheetPr codeName="Sheet3"/>
  <dimension ref="A1:AC11"/>
  <sheetViews>
    <sheetView showRowColHeaders="0" showRuler="0" workbookViewId="0">
      <selection sqref="A1:V11"/>
    </sheetView>
  </sheetViews>
  <sheetFormatPr defaultRowHeight="15" x14ac:dyDescent="0.25"/>
  <sheetData>
    <row r="1" spans="1:29" x14ac:dyDescent="0.25">
      <c r="A1" t="s">
        <v>744</v>
      </c>
      <c r="B1" t="s">
        <v>745</v>
      </c>
      <c r="C1" t="s">
        <v>746</v>
      </c>
      <c r="D1" t="s">
        <v>747</v>
      </c>
      <c r="E1" t="s">
        <v>748</v>
      </c>
      <c r="F1" t="s">
        <v>749</v>
      </c>
      <c r="G1" t="s">
        <v>750</v>
      </c>
      <c r="H1" t="s">
        <v>751</v>
      </c>
      <c r="I1" t="s">
        <v>752</v>
      </c>
      <c r="J1" t="s">
        <v>753</v>
      </c>
      <c r="K1" t="s">
        <v>754</v>
      </c>
      <c r="L1" t="s">
        <v>68</v>
      </c>
      <c r="M1" t="s">
        <v>539</v>
      </c>
      <c r="N1" t="s">
        <v>755</v>
      </c>
      <c r="O1" t="s">
        <v>756</v>
      </c>
      <c r="P1" t="s">
        <v>757</v>
      </c>
      <c r="Q1" t="s">
        <v>186</v>
      </c>
      <c r="R1" t="s">
        <v>758</v>
      </c>
      <c r="S1" t="s">
        <v>71</v>
      </c>
      <c r="T1" t="s">
        <v>759</v>
      </c>
      <c r="U1" t="s">
        <v>760</v>
      </c>
      <c r="V1" t="s">
        <v>761</v>
      </c>
      <c r="AA1">
        <f>IFERROR(MATCH(AC1,V2:V1048576,0)+1,0)</f>
        <v>9</v>
      </c>
      <c r="AC1" t="s">
        <v>803</v>
      </c>
    </row>
    <row r="2" spans="1:29" x14ac:dyDescent="0.25">
      <c r="A2">
        <v>1</v>
      </c>
      <c r="B2" t="s">
        <v>640</v>
      </c>
      <c r="C2" t="s">
        <v>762</v>
      </c>
      <c r="E2" t="s">
        <v>609</v>
      </c>
      <c r="F2" t="s">
        <v>763</v>
      </c>
      <c r="G2" t="s">
        <v>764</v>
      </c>
      <c r="H2" t="s">
        <v>765</v>
      </c>
      <c r="I2" s="5">
        <v>44652</v>
      </c>
      <c r="M2">
        <v>233</v>
      </c>
      <c r="O2" t="s">
        <v>766</v>
      </c>
      <c r="U2">
        <v>320392</v>
      </c>
      <c r="V2" s="9">
        <v>44652.651886574073</v>
      </c>
    </row>
    <row r="3" spans="1:29" x14ac:dyDescent="0.25">
      <c r="A3">
        <v>2</v>
      </c>
      <c r="B3" t="s">
        <v>3</v>
      </c>
      <c r="C3" t="s">
        <v>767</v>
      </c>
      <c r="E3" t="s">
        <v>597</v>
      </c>
      <c r="F3" t="s">
        <v>768</v>
      </c>
      <c r="G3" t="s">
        <v>769</v>
      </c>
      <c r="H3" t="s">
        <v>765</v>
      </c>
      <c r="I3" s="5">
        <v>44652</v>
      </c>
      <c r="M3" t="s">
        <v>770</v>
      </c>
      <c r="N3" t="s">
        <v>618</v>
      </c>
      <c r="O3" t="s">
        <v>766</v>
      </c>
      <c r="U3" t="s">
        <v>771</v>
      </c>
      <c r="V3" s="9">
        <v>44652.721435185187</v>
      </c>
    </row>
    <row r="4" spans="1:29" x14ac:dyDescent="0.25">
      <c r="A4">
        <v>3</v>
      </c>
      <c r="B4" t="s">
        <v>6</v>
      </c>
      <c r="C4" t="s">
        <v>772</v>
      </c>
      <c r="E4" t="s">
        <v>601</v>
      </c>
      <c r="F4" t="s">
        <v>773</v>
      </c>
      <c r="G4" t="s">
        <v>774</v>
      </c>
      <c r="H4" t="s">
        <v>765</v>
      </c>
      <c r="I4" s="5">
        <v>44652</v>
      </c>
      <c r="M4" t="s">
        <v>775</v>
      </c>
      <c r="N4" t="s">
        <v>576</v>
      </c>
      <c r="O4" t="s">
        <v>766</v>
      </c>
      <c r="U4">
        <v>923</v>
      </c>
      <c r="V4" s="9">
        <v>44652.721747685187</v>
      </c>
    </row>
    <row r="5" spans="1:29" x14ac:dyDescent="0.25">
      <c r="A5">
        <v>4</v>
      </c>
      <c r="B5" t="s">
        <v>18</v>
      </c>
      <c r="C5" t="s">
        <v>776</v>
      </c>
      <c r="D5" t="s">
        <v>550</v>
      </c>
      <c r="E5" t="s">
        <v>598</v>
      </c>
      <c r="F5" t="s">
        <v>777</v>
      </c>
      <c r="G5" t="s">
        <v>778</v>
      </c>
      <c r="H5" t="s">
        <v>779</v>
      </c>
      <c r="I5" s="1">
        <v>44565</v>
      </c>
      <c r="S5">
        <v>0</v>
      </c>
      <c r="T5">
        <v>0</v>
      </c>
      <c r="U5">
        <v>0</v>
      </c>
      <c r="V5" s="9">
        <v>44652.722060185188</v>
      </c>
    </row>
    <row r="6" spans="1:29" x14ac:dyDescent="0.25">
      <c r="A6">
        <v>5</v>
      </c>
      <c r="B6" t="s">
        <v>26</v>
      </c>
      <c r="C6" t="s">
        <v>780</v>
      </c>
      <c r="D6" t="s">
        <v>555</v>
      </c>
      <c r="E6" t="s">
        <v>598</v>
      </c>
      <c r="F6" t="s">
        <v>785</v>
      </c>
      <c r="G6" t="s">
        <v>783</v>
      </c>
      <c r="H6" t="s">
        <v>779</v>
      </c>
      <c r="I6" s="1">
        <v>44652</v>
      </c>
      <c r="S6">
        <v>0</v>
      </c>
      <c r="T6">
        <v>0</v>
      </c>
      <c r="U6">
        <v>0</v>
      </c>
      <c r="V6" s="9" t="s">
        <v>786</v>
      </c>
    </row>
    <row r="7" spans="1:29" x14ac:dyDescent="0.25">
      <c r="A7">
        <v>6</v>
      </c>
      <c r="B7" t="s">
        <v>28</v>
      </c>
      <c r="C7" t="s">
        <v>780</v>
      </c>
      <c r="D7" t="s">
        <v>560</v>
      </c>
      <c r="E7" t="s">
        <v>588</v>
      </c>
      <c r="F7">
        <v>12345</v>
      </c>
      <c r="G7" t="s">
        <v>783</v>
      </c>
      <c r="H7" t="s">
        <v>779</v>
      </c>
      <c r="I7" s="1">
        <v>44652</v>
      </c>
      <c r="J7" s="1">
        <v>44896</v>
      </c>
      <c r="K7" s="1" t="s">
        <v>788</v>
      </c>
      <c r="M7" t="s">
        <v>787</v>
      </c>
      <c r="N7" t="s">
        <v>577</v>
      </c>
      <c r="O7" t="s">
        <v>576</v>
      </c>
      <c r="P7" t="s">
        <v>88</v>
      </c>
      <c r="Q7" t="s">
        <v>198</v>
      </c>
      <c r="R7">
        <v>808880</v>
      </c>
      <c r="S7">
        <v>0</v>
      </c>
      <c r="T7">
        <v>0</v>
      </c>
      <c r="U7">
        <v>0</v>
      </c>
      <c r="V7" s="9" t="s">
        <v>789</v>
      </c>
    </row>
    <row r="8" spans="1:29" x14ac:dyDescent="0.25">
      <c r="A8">
        <v>7</v>
      </c>
      <c r="B8" t="s">
        <v>29</v>
      </c>
      <c r="C8" t="s">
        <v>781</v>
      </c>
      <c r="D8" t="s">
        <v>570</v>
      </c>
      <c r="E8" t="s">
        <v>586</v>
      </c>
      <c r="F8">
        <v>1234</v>
      </c>
      <c r="G8" t="s">
        <v>782</v>
      </c>
      <c r="H8" t="s">
        <v>779</v>
      </c>
      <c r="I8" s="5">
        <v>44565</v>
      </c>
      <c r="S8">
        <v>0</v>
      </c>
      <c r="T8">
        <v>0</v>
      </c>
      <c r="U8">
        <v>0</v>
      </c>
      <c r="V8" t="s">
        <v>784</v>
      </c>
    </row>
    <row r="9" spans="1:29" x14ac:dyDescent="0.25">
      <c r="A9">
        <v>8</v>
      </c>
      <c r="B9" t="s">
        <v>631</v>
      </c>
      <c r="C9" t="s">
        <v>790</v>
      </c>
      <c r="D9" t="s">
        <v>791</v>
      </c>
      <c r="E9" t="s">
        <v>792</v>
      </c>
      <c r="F9" t="s">
        <v>793</v>
      </c>
      <c r="G9" t="s">
        <v>794</v>
      </c>
      <c r="H9" t="s">
        <v>765</v>
      </c>
      <c r="I9" s="1">
        <v>44576</v>
      </c>
      <c r="J9" t="s">
        <v>795</v>
      </c>
      <c r="K9" t="s">
        <v>796</v>
      </c>
      <c r="M9" t="s">
        <v>797</v>
      </c>
      <c r="N9" t="s">
        <v>798</v>
      </c>
      <c r="O9" t="s">
        <v>766</v>
      </c>
      <c r="P9" t="s">
        <v>799</v>
      </c>
      <c r="Q9" t="s">
        <v>800</v>
      </c>
      <c r="R9" t="s">
        <v>801</v>
      </c>
      <c r="U9" t="s">
        <v>802</v>
      </c>
      <c r="V9" t="s">
        <v>803</v>
      </c>
    </row>
    <row r="10" spans="1:29" x14ac:dyDescent="0.25">
      <c r="A10">
        <v>9</v>
      </c>
      <c r="B10" t="s">
        <v>19</v>
      </c>
      <c r="C10" t="s">
        <v>804</v>
      </c>
      <c r="D10" t="s">
        <v>555</v>
      </c>
      <c r="E10" t="s">
        <v>805</v>
      </c>
      <c r="F10" t="s">
        <v>806</v>
      </c>
      <c r="G10" t="s">
        <v>807</v>
      </c>
      <c r="H10" t="s">
        <v>779</v>
      </c>
      <c r="I10" s="1">
        <v>44576</v>
      </c>
      <c r="J10" t="s">
        <v>808</v>
      </c>
      <c r="K10" t="s">
        <v>809</v>
      </c>
      <c r="L10" t="s">
        <v>810</v>
      </c>
      <c r="M10">
        <v>34</v>
      </c>
      <c r="P10" t="s">
        <v>78</v>
      </c>
      <c r="Q10" t="s">
        <v>240</v>
      </c>
      <c r="R10" t="s">
        <v>811</v>
      </c>
      <c r="S10">
        <v>0</v>
      </c>
      <c r="T10">
        <v>0</v>
      </c>
      <c r="U10">
        <v>0</v>
      </c>
      <c r="V10" t="s">
        <v>812</v>
      </c>
    </row>
    <row r="11" spans="1:29" x14ac:dyDescent="0.25">
      <c r="A11">
        <v>10</v>
      </c>
      <c r="B11" t="s">
        <v>16</v>
      </c>
      <c r="C11" t="s">
        <v>813</v>
      </c>
      <c r="D11" t="s">
        <v>814</v>
      </c>
      <c r="E11" t="s">
        <v>815</v>
      </c>
      <c r="F11" t="s">
        <v>816</v>
      </c>
      <c r="G11" t="s">
        <v>817</v>
      </c>
      <c r="H11" t="s">
        <v>779</v>
      </c>
      <c r="I11" s="1">
        <v>44576</v>
      </c>
      <c r="J11" t="s">
        <v>818</v>
      </c>
      <c r="K11" t="s">
        <v>819</v>
      </c>
      <c r="L11" t="s">
        <v>820</v>
      </c>
      <c r="M11" t="s">
        <v>821</v>
      </c>
      <c r="N11" t="s">
        <v>822</v>
      </c>
      <c r="O11" t="s">
        <v>823</v>
      </c>
      <c r="S11">
        <v>0</v>
      </c>
      <c r="T11">
        <v>0</v>
      </c>
      <c r="U11">
        <v>0</v>
      </c>
      <c r="V11" t="s">
        <v>824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6A3CD3-A966-48CD-B8C6-43E6BD7FE956}">
  <sheetPr codeName="Sheet4"/>
  <dimension ref="A1"/>
  <sheetViews>
    <sheetView showRowColHeaders="0" showRuler="0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4F4A37-F693-4B1B-BD75-63CB1E66400E}">
  <sheetPr codeName="Sheet31">
    <tabColor theme="2" tint="-0.499984740745262"/>
  </sheetPr>
  <dimension ref="A1:C98"/>
  <sheetViews>
    <sheetView workbookViewId="0"/>
  </sheetViews>
  <sheetFormatPr defaultRowHeight="15" x14ac:dyDescent="0.25"/>
  <cols>
    <col min="1" max="1" width="4.28515625" bestFit="1" customWidth="1"/>
    <col min="2" max="2" width="53.85546875" bestFit="1" customWidth="1"/>
    <col min="3" max="3" width="10.7109375" bestFit="1" customWidth="1"/>
  </cols>
  <sheetData>
    <row r="1" spans="1:3" x14ac:dyDescent="0.25">
      <c r="A1" t="s">
        <v>716</v>
      </c>
      <c r="B1" t="s">
        <v>651</v>
      </c>
      <c r="C1" t="s">
        <v>626</v>
      </c>
    </row>
    <row r="2" spans="1:3" x14ac:dyDescent="0.25">
      <c r="A2">
        <v>1</v>
      </c>
      <c r="B2" t="s">
        <v>14</v>
      </c>
      <c r="C2" s="2" t="s">
        <v>652</v>
      </c>
    </row>
    <row r="3" spans="1:3" x14ac:dyDescent="0.25">
      <c r="A3">
        <v>2</v>
      </c>
      <c r="B3" t="s">
        <v>15</v>
      </c>
      <c r="C3" s="2" t="s">
        <v>653</v>
      </c>
    </row>
    <row r="4" spans="1:3" x14ac:dyDescent="0.25">
      <c r="A4">
        <v>3</v>
      </c>
      <c r="B4" t="s">
        <v>16</v>
      </c>
      <c r="C4" s="2" t="s">
        <v>654</v>
      </c>
    </row>
    <row r="5" spans="1:3" x14ac:dyDescent="0.25">
      <c r="A5">
        <v>4</v>
      </c>
      <c r="B5" t="s">
        <v>17</v>
      </c>
      <c r="C5" s="2" t="s">
        <v>655</v>
      </c>
    </row>
    <row r="6" spans="1:3" x14ac:dyDescent="0.25">
      <c r="A6">
        <v>5</v>
      </c>
      <c r="B6" t="s">
        <v>18</v>
      </c>
      <c r="C6" s="2" t="s">
        <v>656</v>
      </c>
    </row>
    <row r="7" spans="1:3" x14ac:dyDescent="0.25">
      <c r="A7">
        <v>6</v>
      </c>
      <c r="B7" t="s">
        <v>19</v>
      </c>
      <c r="C7" s="2" t="s">
        <v>657</v>
      </c>
    </row>
    <row r="8" spans="1:3" x14ac:dyDescent="0.25">
      <c r="A8">
        <v>7</v>
      </c>
      <c r="B8" t="s">
        <v>20</v>
      </c>
      <c r="C8" s="2" t="s">
        <v>658</v>
      </c>
    </row>
    <row r="9" spans="1:3" x14ac:dyDescent="0.25">
      <c r="A9">
        <v>8</v>
      </c>
      <c r="B9" t="s">
        <v>643</v>
      </c>
      <c r="C9" s="2" t="s">
        <v>659</v>
      </c>
    </row>
    <row r="10" spans="1:3" x14ac:dyDescent="0.25">
      <c r="A10">
        <v>9</v>
      </c>
      <c r="B10" t="s">
        <v>0</v>
      </c>
      <c r="C10" s="2" t="s">
        <v>660</v>
      </c>
    </row>
    <row r="11" spans="1:3" x14ac:dyDescent="0.25">
      <c r="A11">
        <v>10</v>
      </c>
      <c r="B11" t="s">
        <v>21</v>
      </c>
      <c r="C11" s="2" t="s">
        <v>661</v>
      </c>
    </row>
    <row r="12" spans="1:3" x14ac:dyDescent="0.25">
      <c r="A12">
        <v>11</v>
      </c>
      <c r="B12" t="s">
        <v>22</v>
      </c>
      <c r="C12" s="2" t="s">
        <v>662</v>
      </c>
    </row>
    <row r="13" spans="1:3" x14ac:dyDescent="0.25">
      <c r="A13">
        <v>12</v>
      </c>
      <c r="B13" t="s">
        <v>23</v>
      </c>
      <c r="C13" s="2" t="s">
        <v>663</v>
      </c>
    </row>
    <row r="14" spans="1:3" x14ac:dyDescent="0.25">
      <c r="A14">
        <v>13</v>
      </c>
      <c r="B14" t="s">
        <v>24</v>
      </c>
      <c r="C14" s="2" t="s">
        <v>664</v>
      </c>
    </row>
    <row r="15" spans="1:3" x14ac:dyDescent="0.25">
      <c r="A15">
        <v>14</v>
      </c>
      <c r="B15" t="s">
        <v>39</v>
      </c>
      <c r="C15" s="2" t="s">
        <v>665</v>
      </c>
    </row>
    <row r="16" spans="1:3" x14ac:dyDescent="0.25">
      <c r="A16">
        <v>15</v>
      </c>
      <c r="B16" t="s">
        <v>25</v>
      </c>
      <c r="C16" s="2" t="s">
        <v>666</v>
      </c>
    </row>
    <row r="17" spans="1:3" x14ac:dyDescent="0.25">
      <c r="A17">
        <v>16</v>
      </c>
      <c r="B17" t="s">
        <v>26</v>
      </c>
      <c r="C17" s="2" t="s">
        <v>667</v>
      </c>
    </row>
    <row r="18" spans="1:3" x14ac:dyDescent="0.25">
      <c r="A18">
        <v>17</v>
      </c>
      <c r="B18" t="s">
        <v>57</v>
      </c>
      <c r="C18" s="2" t="s">
        <v>668</v>
      </c>
    </row>
    <row r="19" spans="1:3" x14ac:dyDescent="0.25">
      <c r="A19">
        <v>18</v>
      </c>
      <c r="B19" t="s">
        <v>37</v>
      </c>
      <c r="C19" s="2" t="s">
        <v>669</v>
      </c>
    </row>
    <row r="20" spans="1:3" x14ac:dyDescent="0.25">
      <c r="A20">
        <v>19</v>
      </c>
      <c r="B20" t="s">
        <v>27</v>
      </c>
      <c r="C20" s="2" t="s">
        <v>670</v>
      </c>
    </row>
    <row r="21" spans="1:3" x14ac:dyDescent="0.25">
      <c r="A21">
        <v>20</v>
      </c>
      <c r="B21" t="s">
        <v>28</v>
      </c>
      <c r="C21" s="2" t="s">
        <v>671</v>
      </c>
    </row>
    <row r="22" spans="1:3" x14ac:dyDescent="0.25">
      <c r="A22">
        <v>21</v>
      </c>
      <c r="B22" t="s">
        <v>29</v>
      </c>
      <c r="C22" s="2" t="s">
        <v>672</v>
      </c>
    </row>
    <row r="23" spans="1:3" x14ac:dyDescent="0.25">
      <c r="A23">
        <v>22</v>
      </c>
      <c r="B23" t="s">
        <v>30</v>
      </c>
      <c r="C23" s="2" t="s">
        <v>673</v>
      </c>
    </row>
    <row r="24" spans="1:3" x14ac:dyDescent="0.25">
      <c r="A24">
        <v>23</v>
      </c>
      <c r="B24" t="s">
        <v>31</v>
      </c>
      <c r="C24" s="2" t="s">
        <v>674</v>
      </c>
    </row>
    <row r="25" spans="1:3" x14ac:dyDescent="0.25">
      <c r="A25">
        <v>24</v>
      </c>
      <c r="B25" t="s">
        <v>644</v>
      </c>
      <c r="C25" s="2" t="s">
        <v>675</v>
      </c>
    </row>
    <row r="26" spans="1:3" x14ac:dyDescent="0.25">
      <c r="A26">
        <v>25</v>
      </c>
      <c r="B26" t="s">
        <v>38</v>
      </c>
      <c r="C26" s="2" t="s">
        <v>676</v>
      </c>
    </row>
    <row r="27" spans="1:3" x14ac:dyDescent="0.25">
      <c r="A27">
        <v>26</v>
      </c>
      <c r="B27" t="s">
        <v>645</v>
      </c>
      <c r="C27" s="2" t="s">
        <v>677</v>
      </c>
    </row>
    <row r="28" spans="1:3" x14ac:dyDescent="0.25">
      <c r="A28">
        <v>27</v>
      </c>
      <c r="B28" t="s">
        <v>32</v>
      </c>
      <c r="C28" s="2" t="s">
        <v>678</v>
      </c>
    </row>
    <row r="29" spans="1:3" x14ac:dyDescent="0.25">
      <c r="A29">
        <v>28</v>
      </c>
      <c r="B29" t="s">
        <v>33</v>
      </c>
      <c r="C29" s="2" t="s">
        <v>679</v>
      </c>
    </row>
    <row r="30" spans="1:3" x14ac:dyDescent="0.25">
      <c r="A30">
        <v>29</v>
      </c>
      <c r="B30" t="s">
        <v>34</v>
      </c>
      <c r="C30" s="2" t="s">
        <v>680</v>
      </c>
    </row>
    <row r="31" spans="1:3" x14ac:dyDescent="0.25">
      <c r="A31">
        <v>30</v>
      </c>
      <c r="B31" t="s">
        <v>45</v>
      </c>
      <c r="C31" s="2" t="s">
        <v>681</v>
      </c>
    </row>
    <row r="32" spans="1:3" x14ac:dyDescent="0.25">
      <c r="A32">
        <v>31</v>
      </c>
      <c r="B32" t="s">
        <v>646</v>
      </c>
      <c r="C32" s="2" t="s">
        <v>682</v>
      </c>
    </row>
    <row r="33" spans="1:3" x14ac:dyDescent="0.25">
      <c r="A33">
        <v>32</v>
      </c>
      <c r="B33" t="s">
        <v>35</v>
      </c>
      <c r="C33" s="2" t="s">
        <v>683</v>
      </c>
    </row>
    <row r="34" spans="1:3" x14ac:dyDescent="0.25">
      <c r="A34">
        <v>33</v>
      </c>
      <c r="B34" t="s">
        <v>647</v>
      </c>
      <c r="C34" s="2" t="s">
        <v>684</v>
      </c>
    </row>
    <row r="35" spans="1:3" x14ac:dyDescent="0.25">
      <c r="A35">
        <v>34</v>
      </c>
      <c r="B35" t="s">
        <v>648</v>
      </c>
      <c r="C35" s="2" t="s">
        <v>685</v>
      </c>
    </row>
    <row r="36" spans="1:3" x14ac:dyDescent="0.25">
      <c r="A36">
        <v>35</v>
      </c>
      <c r="B36" t="s">
        <v>66</v>
      </c>
      <c r="C36" s="2" t="s">
        <v>686</v>
      </c>
    </row>
    <row r="37" spans="1:3" x14ac:dyDescent="0.25">
      <c r="A37">
        <v>36</v>
      </c>
      <c r="B37" t="s">
        <v>36</v>
      </c>
      <c r="C37" s="2" t="s">
        <v>687</v>
      </c>
    </row>
    <row r="38" spans="1:3" x14ac:dyDescent="0.25">
      <c r="A38">
        <v>37</v>
      </c>
      <c r="B38" t="s">
        <v>649</v>
      </c>
      <c r="C38" s="2" t="s">
        <v>688</v>
      </c>
    </row>
    <row r="39" spans="1:3" x14ac:dyDescent="0.25">
      <c r="A39">
        <v>38</v>
      </c>
      <c r="B39" t="s">
        <v>56</v>
      </c>
      <c r="C39" s="2" t="s">
        <v>689</v>
      </c>
    </row>
    <row r="40" spans="1:3" x14ac:dyDescent="0.25">
      <c r="A40">
        <v>39</v>
      </c>
      <c r="B40" t="s">
        <v>41</v>
      </c>
      <c r="C40" s="2" t="s">
        <v>690</v>
      </c>
    </row>
    <row r="41" spans="1:3" x14ac:dyDescent="0.25">
      <c r="A41">
        <v>40</v>
      </c>
      <c r="B41" t="s">
        <v>50</v>
      </c>
      <c r="C41" s="2" t="s">
        <v>691</v>
      </c>
    </row>
    <row r="42" spans="1:3" x14ac:dyDescent="0.25">
      <c r="A42">
        <v>41</v>
      </c>
      <c r="B42" t="s">
        <v>1</v>
      </c>
      <c r="C42" s="2" t="s">
        <v>692</v>
      </c>
    </row>
    <row r="43" spans="1:3" x14ac:dyDescent="0.25">
      <c r="A43">
        <v>42</v>
      </c>
      <c r="B43" t="s">
        <v>650</v>
      </c>
      <c r="C43" s="2" t="s">
        <v>693</v>
      </c>
    </row>
    <row r="44" spans="1:3" x14ac:dyDescent="0.25">
      <c r="A44">
        <v>43</v>
      </c>
      <c r="B44" t="s">
        <v>538</v>
      </c>
      <c r="C44" s="2" t="s">
        <v>706</v>
      </c>
    </row>
    <row r="45" spans="1:3" x14ac:dyDescent="0.25">
      <c r="A45">
        <v>44</v>
      </c>
      <c r="B45" t="s">
        <v>642</v>
      </c>
      <c r="C45" s="2"/>
    </row>
    <row r="46" spans="1:3" x14ac:dyDescent="0.25">
      <c r="C46" s="2"/>
    </row>
    <row r="47" spans="1:3" x14ac:dyDescent="0.25">
      <c r="C47" s="2"/>
    </row>
    <row r="48" spans="1:3" x14ac:dyDescent="0.25">
      <c r="C48" s="2"/>
    </row>
    <row r="49" spans="3:3" x14ac:dyDescent="0.25">
      <c r="C49" s="2"/>
    </row>
    <row r="50" spans="3:3" x14ac:dyDescent="0.25">
      <c r="C50" s="2"/>
    </row>
    <row r="51" spans="3:3" x14ac:dyDescent="0.25">
      <c r="C51" s="2"/>
    </row>
    <row r="52" spans="3:3" x14ac:dyDescent="0.25">
      <c r="C52" s="2"/>
    </row>
    <row r="53" spans="3:3" x14ac:dyDescent="0.25">
      <c r="C53" s="2"/>
    </row>
    <row r="54" spans="3:3" x14ac:dyDescent="0.25">
      <c r="C54" s="2"/>
    </row>
    <row r="55" spans="3:3" x14ac:dyDescent="0.25">
      <c r="C55" s="2"/>
    </row>
    <row r="56" spans="3:3" x14ac:dyDescent="0.25">
      <c r="C56" s="2"/>
    </row>
    <row r="57" spans="3:3" x14ac:dyDescent="0.25">
      <c r="C57" s="2"/>
    </row>
    <row r="58" spans="3:3" x14ac:dyDescent="0.25">
      <c r="C58" s="2"/>
    </row>
    <row r="59" spans="3:3" x14ac:dyDescent="0.25">
      <c r="C59" s="2"/>
    </row>
    <row r="60" spans="3:3" x14ac:dyDescent="0.25">
      <c r="C60" s="2"/>
    </row>
    <row r="61" spans="3:3" x14ac:dyDescent="0.25">
      <c r="C61" s="2"/>
    </row>
    <row r="62" spans="3:3" x14ac:dyDescent="0.25">
      <c r="C62" s="2"/>
    </row>
    <row r="63" spans="3:3" x14ac:dyDescent="0.25">
      <c r="C63" s="2"/>
    </row>
    <row r="64" spans="3:3" x14ac:dyDescent="0.25">
      <c r="C64" s="2"/>
    </row>
    <row r="65" spans="3:3" x14ac:dyDescent="0.25">
      <c r="C65" s="2"/>
    </row>
    <row r="66" spans="3:3" x14ac:dyDescent="0.25">
      <c r="C66" s="2"/>
    </row>
    <row r="67" spans="3:3" x14ac:dyDescent="0.25">
      <c r="C67" s="2"/>
    </row>
    <row r="68" spans="3:3" x14ac:dyDescent="0.25">
      <c r="C68" s="2"/>
    </row>
    <row r="69" spans="3:3" x14ac:dyDescent="0.25">
      <c r="C69" s="2"/>
    </row>
    <row r="70" spans="3:3" x14ac:dyDescent="0.25">
      <c r="C70" s="2"/>
    </row>
    <row r="71" spans="3:3" x14ac:dyDescent="0.25">
      <c r="C71" s="2"/>
    </row>
    <row r="72" spans="3:3" x14ac:dyDescent="0.25">
      <c r="C72" s="2"/>
    </row>
    <row r="73" spans="3:3" x14ac:dyDescent="0.25">
      <c r="C73" s="2"/>
    </row>
    <row r="74" spans="3:3" x14ac:dyDescent="0.25">
      <c r="C74" s="2"/>
    </row>
    <row r="75" spans="3:3" x14ac:dyDescent="0.25">
      <c r="C75" s="2"/>
    </row>
    <row r="76" spans="3:3" x14ac:dyDescent="0.25">
      <c r="C76" s="2"/>
    </row>
    <row r="77" spans="3:3" x14ac:dyDescent="0.25">
      <c r="C77" s="2"/>
    </row>
    <row r="78" spans="3:3" x14ac:dyDescent="0.25">
      <c r="C78" s="2"/>
    </row>
    <row r="79" spans="3:3" x14ac:dyDescent="0.25">
      <c r="C79" s="2"/>
    </row>
    <row r="80" spans="3:3" x14ac:dyDescent="0.25">
      <c r="C80" s="2"/>
    </row>
    <row r="81" spans="3:3" x14ac:dyDescent="0.25">
      <c r="C81" s="2"/>
    </row>
    <row r="82" spans="3:3" x14ac:dyDescent="0.25">
      <c r="C82" s="2"/>
    </row>
    <row r="83" spans="3:3" x14ac:dyDescent="0.25">
      <c r="C83" s="2"/>
    </row>
    <row r="84" spans="3:3" x14ac:dyDescent="0.25">
      <c r="C84" s="2"/>
    </row>
    <row r="85" spans="3:3" x14ac:dyDescent="0.25">
      <c r="C85" s="2"/>
    </row>
    <row r="86" spans="3:3" x14ac:dyDescent="0.25">
      <c r="C86" s="2"/>
    </row>
    <row r="87" spans="3:3" x14ac:dyDescent="0.25">
      <c r="C87" s="2"/>
    </row>
    <row r="88" spans="3:3" x14ac:dyDescent="0.25">
      <c r="C88" s="2"/>
    </row>
    <row r="89" spans="3:3" x14ac:dyDescent="0.25">
      <c r="C89" s="2"/>
    </row>
    <row r="90" spans="3:3" x14ac:dyDescent="0.25">
      <c r="C90" s="2"/>
    </row>
    <row r="91" spans="3:3" x14ac:dyDescent="0.25">
      <c r="C91" s="2"/>
    </row>
    <row r="92" spans="3:3" x14ac:dyDescent="0.25">
      <c r="C92" s="2"/>
    </row>
    <row r="93" spans="3:3" x14ac:dyDescent="0.25">
      <c r="C93" s="2"/>
    </row>
    <row r="94" spans="3:3" x14ac:dyDescent="0.25">
      <c r="C94" s="2"/>
    </row>
    <row r="95" spans="3:3" x14ac:dyDescent="0.25">
      <c r="C95" s="2"/>
    </row>
    <row r="96" spans="3:3" x14ac:dyDescent="0.25">
      <c r="C96" s="2"/>
    </row>
    <row r="97" spans="3:3" x14ac:dyDescent="0.25">
      <c r="C97" s="2"/>
    </row>
    <row r="98" spans="3:3" x14ac:dyDescent="0.25">
      <c r="C98" s="2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8A18AF-2969-4AD8-9087-D224CA65A745}">
  <sheetPr codeName="Sheet48">
    <tabColor theme="2" tint="-0.499984740745262"/>
  </sheetPr>
  <dimension ref="A1:C100"/>
  <sheetViews>
    <sheetView workbookViewId="0"/>
  </sheetViews>
  <sheetFormatPr defaultRowHeight="15" x14ac:dyDescent="0.25"/>
  <cols>
    <col min="1" max="1" width="4.28515625" bestFit="1" customWidth="1"/>
    <col min="2" max="2" width="52.28515625" bestFit="1" customWidth="1"/>
    <col min="3" max="3" width="10.7109375" bestFit="1" customWidth="1"/>
  </cols>
  <sheetData>
    <row r="1" spans="1:3" x14ac:dyDescent="0.25">
      <c r="A1" s="2" t="s">
        <v>716</v>
      </c>
      <c r="B1" t="s">
        <v>641</v>
      </c>
      <c r="C1" t="s">
        <v>626</v>
      </c>
    </row>
    <row r="2" spans="1:3" x14ac:dyDescent="0.25">
      <c r="A2">
        <v>1</v>
      </c>
      <c r="B2" t="s">
        <v>630</v>
      </c>
      <c r="C2" s="2" t="s">
        <v>652</v>
      </c>
    </row>
    <row r="3" spans="1:3" x14ac:dyDescent="0.25">
      <c r="A3">
        <v>2</v>
      </c>
      <c r="B3" t="s">
        <v>2</v>
      </c>
      <c r="C3" s="2" t="s">
        <v>653</v>
      </c>
    </row>
    <row r="4" spans="1:3" x14ac:dyDescent="0.25">
      <c r="A4">
        <v>3</v>
      </c>
      <c r="B4" t="s">
        <v>3</v>
      </c>
      <c r="C4" s="2" t="s">
        <v>654</v>
      </c>
    </row>
    <row r="5" spans="1:3" x14ac:dyDescent="0.25">
      <c r="A5">
        <v>4</v>
      </c>
      <c r="B5" t="s">
        <v>4</v>
      </c>
      <c r="C5" s="2" t="s">
        <v>655</v>
      </c>
    </row>
    <row r="6" spans="1:3" x14ac:dyDescent="0.25">
      <c r="A6">
        <v>5</v>
      </c>
      <c r="B6" t="s">
        <v>631</v>
      </c>
      <c r="C6" s="2" t="s">
        <v>656</v>
      </c>
    </row>
    <row r="7" spans="1:3" x14ac:dyDescent="0.25">
      <c r="A7">
        <v>6</v>
      </c>
      <c r="B7" t="s">
        <v>5</v>
      </c>
      <c r="C7" s="2" t="s">
        <v>658</v>
      </c>
    </row>
    <row r="8" spans="1:3" x14ac:dyDescent="0.25">
      <c r="A8">
        <v>7</v>
      </c>
      <c r="B8" t="s">
        <v>632</v>
      </c>
      <c r="C8" s="2" t="s">
        <v>659</v>
      </c>
    </row>
    <row r="9" spans="1:3" x14ac:dyDescent="0.25">
      <c r="A9">
        <v>8</v>
      </c>
      <c r="B9" t="s">
        <v>64</v>
      </c>
      <c r="C9" s="2" t="s">
        <v>660</v>
      </c>
    </row>
    <row r="10" spans="1:3" x14ac:dyDescent="0.25">
      <c r="A10">
        <v>9</v>
      </c>
      <c r="B10" t="s">
        <v>63</v>
      </c>
      <c r="C10" s="2" t="s">
        <v>661</v>
      </c>
    </row>
    <row r="11" spans="1:3" x14ac:dyDescent="0.25">
      <c r="A11">
        <v>10</v>
      </c>
      <c r="B11" t="s">
        <v>6</v>
      </c>
      <c r="C11" s="2" t="s">
        <v>663</v>
      </c>
    </row>
    <row r="12" spans="1:3" x14ac:dyDescent="0.25">
      <c r="A12">
        <v>11</v>
      </c>
      <c r="B12" t="s">
        <v>633</v>
      </c>
      <c r="C12" s="2" t="s">
        <v>664</v>
      </c>
    </row>
    <row r="13" spans="1:3" x14ac:dyDescent="0.25">
      <c r="A13">
        <v>12</v>
      </c>
      <c r="B13" t="s">
        <v>7</v>
      </c>
      <c r="C13" s="2" t="s">
        <v>666</v>
      </c>
    </row>
    <row r="14" spans="1:3" x14ac:dyDescent="0.25">
      <c r="A14">
        <v>13</v>
      </c>
      <c r="B14" t="s">
        <v>8</v>
      </c>
      <c r="C14" s="2" t="s">
        <v>671</v>
      </c>
    </row>
    <row r="15" spans="1:3" x14ac:dyDescent="0.25">
      <c r="A15">
        <v>14</v>
      </c>
      <c r="B15" t="s">
        <v>9</v>
      </c>
      <c r="C15" s="2" t="s">
        <v>674</v>
      </c>
    </row>
    <row r="16" spans="1:3" x14ac:dyDescent="0.25">
      <c r="A16">
        <v>15</v>
      </c>
      <c r="B16" t="s">
        <v>634</v>
      </c>
      <c r="C16" s="2" t="s">
        <v>675</v>
      </c>
    </row>
    <row r="17" spans="1:3" x14ac:dyDescent="0.25">
      <c r="A17">
        <v>16</v>
      </c>
      <c r="B17" t="s">
        <v>10</v>
      </c>
      <c r="C17" s="2" t="s">
        <v>694</v>
      </c>
    </row>
    <row r="18" spans="1:3" x14ac:dyDescent="0.25">
      <c r="A18">
        <v>17</v>
      </c>
      <c r="B18" t="s">
        <v>635</v>
      </c>
      <c r="C18" s="2" t="s">
        <v>679</v>
      </c>
    </row>
    <row r="19" spans="1:3" x14ac:dyDescent="0.25">
      <c r="A19">
        <v>18</v>
      </c>
      <c r="B19" t="s">
        <v>11</v>
      </c>
      <c r="C19" s="2" t="s">
        <v>695</v>
      </c>
    </row>
    <row r="20" spans="1:3" x14ac:dyDescent="0.25">
      <c r="A20">
        <v>19</v>
      </c>
      <c r="B20" t="s">
        <v>55</v>
      </c>
      <c r="C20" s="2" t="s">
        <v>681</v>
      </c>
    </row>
    <row r="21" spans="1:3" x14ac:dyDescent="0.25">
      <c r="A21">
        <v>20</v>
      </c>
      <c r="B21" t="s">
        <v>636</v>
      </c>
      <c r="C21" s="2" t="s">
        <v>696</v>
      </c>
    </row>
    <row r="22" spans="1:3" x14ac:dyDescent="0.25">
      <c r="A22">
        <v>21</v>
      </c>
      <c r="B22" t="s">
        <v>637</v>
      </c>
      <c r="C22" s="2" t="s">
        <v>697</v>
      </c>
    </row>
    <row r="23" spans="1:3" x14ac:dyDescent="0.25">
      <c r="A23">
        <v>22</v>
      </c>
      <c r="B23" t="s">
        <v>62</v>
      </c>
      <c r="C23" s="2" t="s">
        <v>698</v>
      </c>
    </row>
    <row r="24" spans="1:3" x14ac:dyDescent="0.25">
      <c r="A24">
        <v>23</v>
      </c>
      <c r="B24" t="s">
        <v>638</v>
      </c>
      <c r="C24" s="2" t="s">
        <v>685</v>
      </c>
    </row>
    <row r="25" spans="1:3" x14ac:dyDescent="0.25">
      <c r="A25">
        <v>24</v>
      </c>
      <c r="B25" t="s">
        <v>40</v>
      </c>
      <c r="C25" s="2" t="s">
        <v>699</v>
      </c>
    </row>
    <row r="26" spans="1:3" x14ac:dyDescent="0.25">
      <c r="A26">
        <v>25</v>
      </c>
      <c r="B26" t="s">
        <v>47</v>
      </c>
      <c r="C26" s="2" t="s">
        <v>686</v>
      </c>
    </row>
    <row r="27" spans="1:3" x14ac:dyDescent="0.25">
      <c r="A27">
        <v>26</v>
      </c>
      <c r="B27" t="s">
        <v>708</v>
      </c>
      <c r="C27" s="2" t="s">
        <v>700</v>
      </c>
    </row>
    <row r="28" spans="1:3" x14ac:dyDescent="0.25">
      <c r="A28">
        <v>27</v>
      </c>
      <c r="B28" t="s">
        <v>54</v>
      </c>
      <c r="C28" s="2" t="s">
        <v>687</v>
      </c>
    </row>
    <row r="29" spans="1:3" x14ac:dyDescent="0.25">
      <c r="A29">
        <v>28</v>
      </c>
      <c r="B29" t="s">
        <v>12</v>
      </c>
      <c r="C29" s="2" t="s">
        <v>688</v>
      </c>
    </row>
    <row r="30" spans="1:3" x14ac:dyDescent="0.25">
      <c r="A30">
        <v>29</v>
      </c>
      <c r="B30" t="s">
        <v>639</v>
      </c>
      <c r="C30" s="2" t="s">
        <v>689</v>
      </c>
    </row>
    <row r="31" spans="1:3" x14ac:dyDescent="0.25">
      <c r="A31">
        <v>30</v>
      </c>
      <c r="B31" t="s">
        <v>59</v>
      </c>
      <c r="C31" s="2" t="s">
        <v>701</v>
      </c>
    </row>
    <row r="32" spans="1:3" x14ac:dyDescent="0.25">
      <c r="A32">
        <v>31</v>
      </c>
      <c r="B32" t="s">
        <v>46</v>
      </c>
      <c r="C32" s="2" t="s">
        <v>691</v>
      </c>
    </row>
    <row r="33" spans="1:3" x14ac:dyDescent="0.25">
      <c r="A33">
        <v>32</v>
      </c>
      <c r="B33" t="s">
        <v>13</v>
      </c>
      <c r="C33" s="2" t="s">
        <v>692</v>
      </c>
    </row>
    <row r="34" spans="1:3" x14ac:dyDescent="0.25">
      <c r="A34">
        <v>33</v>
      </c>
      <c r="B34" t="s">
        <v>52</v>
      </c>
      <c r="C34" s="2" t="s">
        <v>702</v>
      </c>
    </row>
    <row r="35" spans="1:3" x14ac:dyDescent="0.25">
      <c r="A35">
        <v>34</v>
      </c>
      <c r="B35" t="s">
        <v>44</v>
      </c>
      <c r="C35" s="2" t="s">
        <v>693</v>
      </c>
    </row>
    <row r="36" spans="1:3" x14ac:dyDescent="0.25">
      <c r="A36">
        <v>35</v>
      </c>
      <c r="B36" t="s">
        <v>640</v>
      </c>
      <c r="C36" s="2" t="s">
        <v>703</v>
      </c>
    </row>
    <row r="37" spans="1:3" x14ac:dyDescent="0.25">
      <c r="A37">
        <v>36</v>
      </c>
      <c r="B37" t="s">
        <v>42</v>
      </c>
      <c r="C37" s="2"/>
    </row>
    <row r="38" spans="1:3" x14ac:dyDescent="0.25">
      <c r="A38">
        <v>37</v>
      </c>
      <c r="B38" t="s">
        <v>43</v>
      </c>
      <c r="C38" s="2"/>
    </row>
    <row r="39" spans="1:3" x14ac:dyDescent="0.25">
      <c r="A39">
        <v>38</v>
      </c>
      <c r="B39" t="s">
        <v>48</v>
      </c>
      <c r="C39" s="2"/>
    </row>
    <row r="40" spans="1:3" x14ac:dyDescent="0.25">
      <c r="A40">
        <v>39</v>
      </c>
      <c r="B40" t="s">
        <v>49</v>
      </c>
      <c r="C40" s="2"/>
    </row>
    <row r="41" spans="1:3" x14ac:dyDescent="0.25">
      <c r="A41">
        <v>40</v>
      </c>
      <c r="B41" t="s">
        <v>51</v>
      </c>
      <c r="C41" s="2"/>
    </row>
    <row r="42" spans="1:3" x14ac:dyDescent="0.25">
      <c r="A42">
        <v>41</v>
      </c>
      <c r="B42" t="s">
        <v>53</v>
      </c>
      <c r="C42" s="2"/>
    </row>
    <row r="43" spans="1:3" x14ac:dyDescent="0.25">
      <c r="A43">
        <v>42</v>
      </c>
      <c r="B43" t="s">
        <v>58</v>
      </c>
      <c r="C43" s="2"/>
    </row>
    <row r="44" spans="1:3" x14ac:dyDescent="0.25">
      <c r="A44">
        <v>43</v>
      </c>
      <c r="B44" t="s">
        <v>627</v>
      </c>
      <c r="C44" s="2"/>
    </row>
    <row r="45" spans="1:3" x14ac:dyDescent="0.25">
      <c r="A45">
        <v>44</v>
      </c>
      <c r="B45" t="s">
        <v>60</v>
      </c>
      <c r="C45" s="2"/>
    </row>
    <row r="46" spans="1:3" x14ac:dyDescent="0.25">
      <c r="A46">
        <v>45</v>
      </c>
      <c r="B46" t="s">
        <v>61</v>
      </c>
      <c r="C46" s="2"/>
    </row>
    <row r="47" spans="1:3" x14ac:dyDescent="0.25">
      <c r="A47">
        <v>46</v>
      </c>
      <c r="B47" t="s">
        <v>628</v>
      </c>
      <c r="C47" s="2"/>
    </row>
    <row r="48" spans="1:3" x14ac:dyDescent="0.25">
      <c r="A48">
        <v>47</v>
      </c>
      <c r="B48" t="s">
        <v>65</v>
      </c>
      <c r="C48" s="2"/>
    </row>
    <row r="49" spans="1:3" x14ac:dyDescent="0.25">
      <c r="A49">
        <v>48</v>
      </c>
      <c r="B49" t="s">
        <v>67</v>
      </c>
      <c r="C49" s="2"/>
    </row>
    <row r="50" spans="1:3" x14ac:dyDescent="0.25">
      <c r="A50">
        <v>49</v>
      </c>
      <c r="B50" t="s">
        <v>629</v>
      </c>
      <c r="C50" s="2"/>
    </row>
    <row r="51" spans="1:3" x14ac:dyDescent="0.25">
      <c r="C51" s="2"/>
    </row>
    <row r="52" spans="1:3" x14ac:dyDescent="0.25">
      <c r="C52" s="2"/>
    </row>
    <row r="53" spans="1:3" x14ac:dyDescent="0.25">
      <c r="C53" s="2"/>
    </row>
    <row r="54" spans="1:3" x14ac:dyDescent="0.25">
      <c r="C54" s="2"/>
    </row>
    <row r="55" spans="1:3" x14ac:dyDescent="0.25">
      <c r="C55" s="2"/>
    </row>
    <row r="56" spans="1:3" x14ac:dyDescent="0.25">
      <c r="C56" s="2"/>
    </row>
    <row r="57" spans="1:3" x14ac:dyDescent="0.25">
      <c r="C57" s="2"/>
    </row>
    <row r="58" spans="1:3" x14ac:dyDescent="0.25">
      <c r="C58" s="2"/>
    </row>
    <row r="59" spans="1:3" x14ac:dyDescent="0.25">
      <c r="C59" s="2"/>
    </row>
    <row r="60" spans="1:3" x14ac:dyDescent="0.25">
      <c r="C60" s="2"/>
    </row>
    <row r="61" spans="1:3" x14ac:dyDescent="0.25">
      <c r="C61" s="2"/>
    </row>
    <row r="62" spans="1:3" x14ac:dyDescent="0.25">
      <c r="C62" s="2"/>
    </row>
    <row r="63" spans="1:3" x14ac:dyDescent="0.25">
      <c r="C63" s="2"/>
    </row>
    <row r="64" spans="1:3" x14ac:dyDescent="0.25">
      <c r="C64" s="2"/>
    </row>
    <row r="65" spans="3:3" x14ac:dyDescent="0.25">
      <c r="C65" s="2"/>
    </row>
    <row r="66" spans="3:3" x14ac:dyDescent="0.25">
      <c r="C66" s="2"/>
    </row>
    <row r="67" spans="3:3" x14ac:dyDescent="0.25">
      <c r="C67" s="2"/>
    </row>
    <row r="68" spans="3:3" x14ac:dyDescent="0.25">
      <c r="C68" s="2"/>
    </row>
    <row r="69" spans="3:3" x14ac:dyDescent="0.25">
      <c r="C69" s="2"/>
    </row>
    <row r="70" spans="3:3" x14ac:dyDescent="0.25">
      <c r="C70" s="2"/>
    </row>
    <row r="71" spans="3:3" x14ac:dyDescent="0.25">
      <c r="C71" s="2"/>
    </row>
    <row r="72" spans="3:3" x14ac:dyDescent="0.25">
      <c r="C72" s="2"/>
    </row>
    <row r="73" spans="3:3" x14ac:dyDescent="0.25">
      <c r="C73" s="2"/>
    </row>
    <row r="74" spans="3:3" x14ac:dyDescent="0.25">
      <c r="C74" s="2"/>
    </row>
    <row r="75" spans="3:3" x14ac:dyDescent="0.25">
      <c r="C75" s="2"/>
    </row>
    <row r="76" spans="3:3" x14ac:dyDescent="0.25">
      <c r="C76" s="2"/>
    </row>
    <row r="77" spans="3:3" x14ac:dyDescent="0.25">
      <c r="C77" s="2"/>
    </row>
    <row r="78" spans="3:3" x14ac:dyDescent="0.25">
      <c r="C78" s="2"/>
    </row>
    <row r="79" spans="3:3" x14ac:dyDescent="0.25">
      <c r="C79" s="2"/>
    </row>
    <row r="80" spans="3:3" x14ac:dyDescent="0.25">
      <c r="C80" s="2"/>
    </row>
    <row r="81" spans="3:3" x14ac:dyDescent="0.25">
      <c r="C81" s="2"/>
    </row>
    <row r="82" spans="3:3" x14ac:dyDescent="0.25">
      <c r="C82" s="2"/>
    </row>
    <row r="83" spans="3:3" x14ac:dyDescent="0.25">
      <c r="C83" s="2"/>
    </row>
    <row r="84" spans="3:3" x14ac:dyDescent="0.25">
      <c r="C84" s="2"/>
    </row>
    <row r="85" spans="3:3" x14ac:dyDescent="0.25">
      <c r="C85" s="2"/>
    </row>
    <row r="86" spans="3:3" x14ac:dyDescent="0.25">
      <c r="C86" s="2"/>
    </row>
    <row r="87" spans="3:3" x14ac:dyDescent="0.25">
      <c r="C87" s="2"/>
    </row>
    <row r="88" spans="3:3" x14ac:dyDescent="0.25">
      <c r="C88" s="2"/>
    </row>
    <row r="89" spans="3:3" x14ac:dyDescent="0.25">
      <c r="C89" s="2"/>
    </row>
    <row r="90" spans="3:3" x14ac:dyDescent="0.25">
      <c r="C90" s="2"/>
    </row>
    <row r="91" spans="3:3" x14ac:dyDescent="0.25">
      <c r="C91" s="2"/>
    </row>
    <row r="92" spans="3:3" x14ac:dyDescent="0.25">
      <c r="C92" s="2"/>
    </row>
    <row r="93" spans="3:3" x14ac:dyDescent="0.25">
      <c r="C93" s="2"/>
    </row>
    <row r="94" spans="3:3" x14ac:dyDescent="0.25">
      <c r="C94" s="2"/>
    </row>
    <row r="95" spans="3:3" x14ac:dyDescent="0.25">
      <c r="C95" s="2"/>
    </row>
    <row r="96" spans="3:3" x14ac:dyDescent="0.25">
      <c r="C96" s="2"/>
    </row>
    <row r="97" spans="3:3" x14ac:dyDescent="0.25">
      <c r="C97" s="2"/>
    </row>
    <row r="98" spans="3:3" x14ac:dyDescent="0.25">
      <c r="C98" s="2"/>
    </row>
    <row r="99" spans="3:3" x14ac:dyDescent="0.25">
      <c r="C99" s="2"/>
    </row>
    <row r="100" spans="3:3" x14ac:dyDescent="0.25">
      <c r="C100" s="2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43068A-304E-4070-B5DB-8635894B14BB}">
  <sheetPr codeName="Sheet2">
    <tabColor theme="5" tint="-0.499984740745262"/>
  </sheetPr>
  <dimension ref="A1:AO352"/>
  <sheetViews>
    <sheetView showRowColHeaders="0" showRuler="0" workbookViewId="0">
      <selection activeCell="B1" sqref="B1"/>
    </sheetView>
  </sheetViews>
  <sheetFormatPr defaultRowHeight="15" x14ac:dyDescent="0.25"/>
  <cols>
    <col min="1" max="1" width="33.5703125" customWidth="1"/>
    <col min="2" max="2" width="53.85546875" bestFit="1" customWidth="1"/>
    <col min="3" max="3" width="23.42578125" customWidth="1"/>
    <col min="4" max="5" width="31.7109375" customWidth="1"/>
    <col min="6" max="6" width="56.7109375" customWidth="1"/>
    <col min="7" max="7" width="7.5703125" bestFit="1" customWidth="1"/>
    <col min="8" max="8" width="11.7109375" bestFit="1" customWidth="1"/>
    <col min="9" max="9" width="19.5703125" customWidth="1"/>
    <col min="10" max="10" width="12.42578125" customWidth="1"/>
    <col min="13" max="13" width="13.5703125" customWidth="1"/>
    <col min="14" max="14" width="25.28515625" customWidth="1"/>
    <col min="15" max="15" width="46.85546875" bestFit="1" customWidth="1"/>
    <col min="16" max="16" width="25.5703125" customWidth="1"/>
    <col min="17" max="17" width="15.28515625" customWidth="1"/>
    <col min="21" max="21" width="15.7109375" bestFit="1" customWidth="1"/>
    <col min="22" max="22" width="10.7109375" bestFit="1" customWidth="1"/>
    <col min="25" max="26" width="10.7109375" bestFit="1" customWidth="1"/>
    <col min="27" max="27" width="35.140625" customWidth="1"/>
    <col min="32" max="32" width="29.85546875" bestFit="1" customWidth="1"/>
    <col min="33" max="33" width="24.140625" customWidth="1"/>
    <col min="34" max="34" width="21.5703125" customWidth="1"/>
    <col min="36" max="36" width="30.42578125" bestFit="1" customWidth="1"/>
    <col min="38" max="38" width="24" bestFit="1" customWidth="1"/>
    <col min="39" max="39" width="13.42578125" bestFit="1" customWidth="1"/>
  </cols>
  <sheetData>
    <row r="1" spans="1:41" x14ac:dyDescent="0.25">
      <c r="A1" t="s">
        <v>742</v>
      </c>
      <c r="B1" s="1">
        <f>SMALL(PendingDatabase!V:V,1)</f>
        <v>44652.651886574073</v>
      </c>
      <c r="E1" t="s">
        <v>704</v>
      </c>
      <c r="F1" t="s">
        <v>705</v>
      </c>
      <c r="G1" t="s">
        <v>68</v>
      </c>
      <c r="H1" t="s">
        <v>71</v>
      </c>
      <c r="I1" t="s">
        <v>185</v>
      </c>
      <c r="J1" t="s">
        <v>186</v>
      </c>
      <c r="M1" t="s">
        <v>539</v>
      </c>
      <c r="N1" t="s">
        <v>542</v>
      </c>
      <c r="O1" t="s">
        <v>573</v>
      </c>
      <c r="P1" t="s">
        <v>585</v>
      </c>
      <c r="U1" t="s">
        <v>710</v>
      </c>
      <c r="V1" s="5" t="str">
        <f ca="1">TEXT(EOMONTH(Y1,0),"DD-MMM-YYYY")</f>
        <v>31-Dec-2022</v>
      </c>
      <c r="Y1" s="5">
        <f ca="1">TODAY()</f>
        <v>44914</v>
      </c>
      <c r="AA1" t="s">
        <v>717</v>
      </c>
      <c r="AB1" t="s">
        <v>718</v>
      </c>
      <c r="AD1" t="s">
        <v>730</v>
      </c>
      <c r="AF1" t="s">
        <v>734</v>
      </c>
      <c r="AH1" t="s">
        <v>738</v>
      </c>
      <c r="AJ1" t="s">
        <v>739</v>
      </c>
      <c r="AK1" s="6" t="s">
        <v>733</v>
      </c>
      <c r="AL1" t="s">
        <v>740</v>
      </c>
      <c r="AM1" s="6" t="e">
        <f>VLOOKUP(AK1,#REF!,2,0)</f>
        <v>#REF!</v>
      </c>
      <c r="AO1">
        <v>1</v>
      </c>
    </row>
    <row r="2" spans="1:41" x14ac:dyDescent="0.25">
      <c r="A2" t="e">
        <f>VLOOKUP(AM1,#REF!,11,0)</f>
        <v>#REF!</v>
      </c>
      <c r="B2" s="1">
        <f>MAX(PendingDatabase!V:V)</f>
        <v>44652.722060185188</v>
      </c>
      <c r="D2" s="2"/>
      <c r="E2" t="s">
        <v>630</v>
      </c>
      <c r="F2" s="4" t="s">
        <v>652</v>
      </c>
      <c r="G2" t="s">
        <v>69</v>
      </c>
      <c r="H2" t="s">
        <v>75</v>
      </c>
      <c r="I2" t="s">
        <v>77</v>
      </c>
      <c r="J2" t="s">
        <v>187</v>
      </c>
      <c r="K2">
        <v>1</v>
      </c>
      <c r="L2" t="s">
        <v>541</v>
      </c>
      <c r="M2" t="str">
        <f>CONCATENATE(K2," ",L2)</f>
        <v>1 Year old</v>
      </c>
      <c r="N2" t="s">
        <v>543</v>
      </c>
      <c r="O2" t="s">
        <v>618</v>
      </c>
      <c r="P2" t="s">
        <v>586</v>
      </c>
      <c r="U2" t="s">
        <v>711</v>
      </c>
      <c r="V2" s="5" t="str">
        <f ca="1">TEXT(EOMONTH(Y1,-1)+1,"DD-MMM-YYYY")</f>
        <v>01-Dec-2022</v>
      </c>
      <c r="AA2" t="s">
        <v>66</v>
      </c>
      <c r="AB2" s="2" t="s">
        <v>686</v>
      </c>
      <c r="AD2" t="s">
        <v>719</v>
      </c>
      <c r="AF2" t="s">
        <v>735</v>
      </c>
    </row>
    <row r="3" spans="1:41" x14ac:dyDescent="0.25">
      <c r="A3" t="s">
        <v>743</v>
      </c>
      <c r="D3" s="2"/>
      <c r="E3" t="s">
        <v>14</v>
      </c>
      <c r="F3" s="4" t="s">
        <v>652</v>
      </c>
      <c r="G3" t="s">
        <v>70</v>
      </c>
      <c r="H3" t="s">
        <v>72</v>
      </c>
      <c r="I3" t="s">
        <v>78</v>
      </c>
      <c r="J3" t="s">
        <v>188</v>
      </c>
      <c r="K3">
        <v>2</v>
      </c>
      <c r="L3" t="s">
        <v>540</v>
      </c>
      <c r="M3" t="str">
        <f t="shared" ref="M3:M66" si="0">CONCATENATE(K3," ",L3)</f>
        <v>2 Years old</v>
      </c>
      <c r="N3" t="s">
        <v>544</v>
      </c>
      <c r="O3" t="s">
        <v>576</v>
      </c>
      <c r="P3" t="s">
        <v>589</v>
      </c>
      <c r="AA3" t="s">
        <v>13</v>
      </c>
      <c r="AB3" s="2" t="s">
        <v>692</v>
      </c>
      <c r="AD3" t="s">
        <v>720</v>
      </c>
      <c r="AF3" t="s">
        <v>736</v>
      </c>
    </row>
    <row r="4" spans="1:41" x14ac:dyDescent="0.25">
      <c r="A4" t="e">
        <f>VLOOKUP(AM1,#REF!,10,0)</f>
        <v>#REF!</v>
      </c>
      <c r="D4" s="2"/>
      <c r="E4" t="s">
        <v>2</v>
      </c>
      <c r="F4" s="4" t="s">
        <v>653</v>
      </c>
      <c r="H4" t="s">
        <v>73</v>
      </c>
      <c r="I4" t="s">
        <v>79</v>
      </c>
      <c r="J4" t="s">
        <v>189</v>
      </c>
      <c r="K4">
        <v>3</v>
      </c>
      <c r="L4" t="s">
        <v>540</v>
      </c>
      <c r="M4" t="str">
        <f t="shared" si="0"/>
        <v>3 Years old</v>
      </c>
      <c r="N4" t="s">
        <v>545</v>
      </c>
      <c r="O4" t="s">
        <v>619</v>
      </c>
      <c r="P4" t="s">
        <v>598</v>
      </c>
      <c r="AA4" t="s">
        <v>61</v>
      </c>
      <c r="AB4" s="2" t="s">
        <v>709</v>
      </c>
      <c r="AD4" t="s">
        <v>721</v>
      </c>
      <c r="AF4" t="s">
        <v>737</v>
      </c>
      <c r="AJ4" t="s">
        <v>741</v>
      </c>
    </row>
    <row r="5" spans="1:41" x14ac:dyDescent="0.25">
      <c r="D5" s="2"/>
      <c r="E5" t="s">
        <v>15</v>
      </c>
      <c r="F5" s="4" t="s">
        <v>653</v>
      </c>
      <c r="H5" t="s">
        <v>76</v>
      </c>
      <c r="I5" t="s">
        <v>80</v>
      </c>
      <c r="J5" t="s">
        <v>190</v>
      </c>
      <c r="K5">
        <v>4</v>
      </c>
      <c r="L5" t="s">
        <v>540</v>
      </c>
      <c r="M5" t="str">
        <f t="shared" si="0"/>
        <v>4 Years old</v>
      </c>
      <c r="N5" t="s">
        <v>546</v>
      </c>
      <c r="O5" t="s">
        <v>620</v>
      </c>
      <c r="P5" t="s">
        <v>606</v>
      </c>
      <c r="AA5" t="s">
        <v>3</v>
      </c>
      <c r="AB5" s="2" t="s">
        <v>654</v>
      </c>
      <c r="AD5" t="s">
        <v>722</v>
      </c>
      <c r="AF5" t="e">
        <f>IF(#REF! &lt;= " "," ",#REF!)</f>
        <v>#REF!</v>
      </c>
      <c r="AJ5" s="7" t="str">
        <f>IFERROR(LOOKUP(2,1/(#REF!=Support!AM1),#REF!),"No Activity Yet")</f>
        <v>No Activity Yet</v>
      </c>
    </row>
    <row r="6" spans="1:41" x14ac:dyDescent="0.25">
      <c r="D6" s="3"/>
      <c r="E6" t="s">
        <v>3</v>
      </c>
      <c r="F6" s="4" t="s">
        <v>654</v>
      </c>
      <c r="H6" t="s">
        <v>74</v>
      </c>
      <c r="I6" t="s">
        <v>81</v>
      </c>
      <c r="J6" t="s">
        <v>191</v>
      </c>
      <c r="K6">
        <v>5</v>
      </c>
      <c r="L6" t="s">
        <v>540</v>
      </c>
      <c r="M6" t="str">
        <f t="shared" si="0"/>
        <v>5 Years old</v>
      </c>
      <c r="N6" t="s">
        <v>547</v>
      </c>
      <c r="O6" t="s">
        <v>577</v>
      </c>
      <c r="P6" t="s">
        <v>607</v>
      </c>
      <c r="AA6" t="s">
        <v>48</v>
      </c>
      <c r="AB6" s="2" t="s">
        <v>653</v>
      </c>
      <c r="AD6" t="s">
        <v>723</v>
      </c>
      <c r="AF6" t="e">
        <f>IF(#REF! &lt;= " "," ",#REF!)</f>
        <v>#REF!</v>
      </c>
    </row>
    <row r="7" spans="1:41" x14ac:dyDescent="0.25">
      <c r="D7" s="3"/>
      <c r="E7" t="s">
        <v>16</v>
      </c>
      <c r="F7" s="4" t="s">
        <v>654</v>
      </c>
      <c r="I7" t="s">
        <v>82</v>
      </c>
      <c r="J7" t="s">
        <v>192</v>
      </c>
      <c r="K7">
        <v>6</v>
      </c>
      <c r="L7" t="s">
        <v>540</v>
      </c>
      <c r="M7" t="str">
        <f t="shared" si="0"/>
        <v>6 Years old</v>
      </c>
      <c r="N7" t="s">
        <v>548</v>
      </c>
      <c r="O7" t="s">
        <v>621</v>
      </c>
      <c r="P7" t="s">
        <v>587</v>
      </c>
      <c r="AA7" t="s">
        <v>630</v>
      </c>
      <c r="AB7" s="2" t="s">
        <v>652</v>
      </c>
      <c r="AD7" t="s">
        <v>724</v>
      </c>
      <c r="AF7" t="e">
        <f>IF(#REF! &lt;= " "," ",#REF!)</f>
        <v>#REF!</v>
      </c>
    </row>
    <row r="8" spans="1:41" x14ac:dyDescent="0.25">
      <c r="D8" s="3"/>
      <c r="E8" t="s">
        <v>4</v>
      </c>
      <c r="F8" s="4" t="s">
        <v>655</v>
      </c>
      <c r="I8" t="s">
        <v>83</v>
      </c>
      <c r="J8" t="s">
        <v>193</v>
      </c>
      <c r="K8">
        <v>7</v>
      </c>
      <c r="L8" t="s">
        <v>540</v>
      </c>
      <c r="M8" t="str">
        <f t="shared" si="0"/>
        <v>7 Years old</v>
      </c>
      <c r="N8" t="s">
        <v>549</v>
      </c>
      <c r="O8" t="s">
        <v>578</v>
      </c>
      <c r="P8" t="s">
        <v>588</v>
      </c>
      <c r="AA8" t="s">
        <v>42</v>
      </c>
      <c r="AB8" s="2" t="s">
        <v>713</v>
      </c>
      <c r="AD8" t="s">
        <v>725</v>
      </c>
      <c r="AF8" t="e">
        <f>IF(#REF! &lt;= " "," ",#REF!)</f>
        <v>#REF!</v>
      </c>
    </row>
    <row r="9" spans="1:41" x14ac:dyDescent="0.25">
      <c r="D9" s="2"/>
      <c r="E9" t="s">
        <v>17</v>
      </c>
      <c r="F9" s="4" t="s">
        <v>655</v>
      </c>
      <c r="I9" t="s">
        <v>84</v>
      </c>
      <c r="J9" t="s">
        <v>194</v>
      </c>
      <c r="K9">
        <v>8</v>
      </c>
      <c r="L9" t="s">
        <v>540</v>
      </c>
      <c r="M9" t="str">
        <f t="shared" si="0"/>
        <v>8 Years old</v>
      </c>
      <c r="N9" t="s">
        <v>550</v>
      </c>
      <c r="O9" t="s">
        <v>622</v>
      </c>
      <c r="P9" t="s">
        <v>590</v>
      </c>
      <c r="AA9" t="s">
        <v>4</v>
      </c>
      <c r="AB9" s="2" t="s">
        <v>655</v>
      </c>
      <c r="AD9" t="s">
        <v>726</v>
      </c>
      <c r="AF9" t="e">
        <f>IF(#REF! &lt;= " "," ",#REF!)</f>
        <v>#REF!</v>
      </c>
      <c r="AJ9" s="7"/>
    </row>
    <row r="10" spans="1:41" x14ac:dyDescent="0.25">
      <c r="D10" s="2"/>
      <c r="E10" t="s">
        <v>18</v>
      </c>
      <c r="F10" s="4" t="s">
        <v>656</v>
      </c>
      <c r="I10" t="s">
        <v>85</v>
      </c>
      <c r="J10" t="s">
        <v>195</v>
      </c>
      <c r="K10">
        <v>9</v>
      </c>
      <c r="L10" t="s">
        <v>540</v>
      </c>
      <c r="M10" t="str">
        <f t="shared" si="0"/>
        <v>9 Years old</v>
      </c>
      <c r="N10" t="s">
        <v>551</v>
      </c>
      <c r="O10" t="s">
        <v>623</v>
      </c>
      <c r="P10" t="s">
        <v>591</v>
      </c>
      <c r="AA10" t="s">
        <v>640</v>
      </c>
      <c r="AB10" s="2" t="s">
        <v>703</v>
      </c>
      <c r="AD10" t="s">
        <v>727</v>
      </c>
      <c r="AF10" t="e">
        <f>IF(#REF! &lt;= " "," ",#REF!)</f>
        <v>#REF!</v>
      </c>
    </row>
    <row r="11" spans="1:41" x14ac:dyDescent="0.25">
      <c r="D11" s="2"/>
      <c r="E11" t="s">
        <v>631</v>
      </c>
      <c r="F11" s="4" t="s">
        <v>656</v>
      </c>
      <c r="I11" t="s">
        <v>86</v>
      </c>
      <c r="J11" t="s">
        <v>196</v>
      </c>
      <c r="K11">
        <v>10</v>
      </c>
      <c r="L11" t="s">
        <v>540</v>
      </c>
      <c r="M11" t="str">
        <f t="shared" si="0"/>
        <v>10 Years old</v>
      </c>
      <c r="N11" t="s">
        <v>552</v>
      </c>
      <c r="O11" t="s">
        <v>624</v>
      </c>
      <c r="P11" t="s">
        <v>592</v>
      </c>
      <c r="AA11" t="s">
        <v>7</v>
      </c>
      <c r="AB11" s="2" t="s">
        <v>666</v>
      </c>
      <c r="AD11" t="s">
        <v>728</v>
      </c>
      <c r="AF11" t="e">
        <f>IF(#REF! &lt;= " "," ",#REF!)</f>
        <v>#REF!</v>
      </c>
    </row>
    <row r="12" spans="1:41" x14ac:dyDescent="0.25">
      <c r="D12" s="2"/>
      <c r="E12" t="s">
        <v>19</v>
      </c>
      <c r="F12" s="4" t="s">
        <v>657</v>
      </c>
      <c r="I12" t="s">
        <v>87</v>
      </c>
      <c r="J12" t="s">
        <v>197</v>
      </c>
      <c r="K12">
        <v>11</v>
      </c>
      <c r="L12" t="s">
        <v>540</v>
      </c>
      <c r="M12" t="str">
        <f t="shared" si="0"/>
        <v>11 Years old</v>
      </c>
      <c r="N12" t="s">
        <v>553</v>
      </c>
      <c r="O12" t="s">
        <v>579</v>
      </c>
      <c r="P12" t="s">
        <v>593</v>
      </c>
      <c r="AA12" t="s">
        <v>52</v>
      </c>
      <c r="AB12" s="2" t="s">
        <v>702</v>
      </c>
      <c r="AD12" t="s">
        <v>729</v>
      </c>
      <c r="AF12" t="e">
        <f>IF(#REF! &lt;= " "," ",#REF!)</f>
        <v>#REF!</v>
      </c>
    </row>
    <row r="13" spans="1:41" x14ac:dyDescent="0.25">
      <c r="D13" s="2"/>
      <c r="E13" t="s">
        <v>5</v>
      </c>
      <c r="F13" s="4" t="s">
        <v>658</v>
      </c>
      <c r="I13" t="s">
        <v>88</v>
      </c>
      <c r="J13" t="s">
        <v>198</v>
      </c>
      <c r="K13">
        <v>12</v>
      </c>
      <c r="L13" t="s">
        <v>540</v>
      </c>
      <c r="M13" t="str">
        <f t="shared" si="0"/>
        <v>12 Years old</v>
      </c>
      <c r="N13" t="s">
        <v>554</v>
      </c>
      <c r="O13" t="s">
        <v>580</v>
      </c>
      <c r="P13" t="s">
        <v>594</v>
      </c>
      <c r="AA13" t="s">
        <v>731</v>
      </c>
      <c r="AB13" s="2" t="s">
        <v>709</v>
      </c>
      <c r="AF13" t="e">
        <f>IF(#REF! &lt;= " "," ",#REF!)</f>
        <v>#REF!</v>
      </c>
    </row>
    <row r="14" spans="1:41" x14ac:dyDescent="0.25">
      <c r="D14" s="2"/>
      <c r="E14" t="s">
        <v>20</v>
      </c>
      <c r="F14" s="4" t="s">
        <v>658</v>
      </c>
      <c r="I14" t="s">
        <v>89</v>
      </c>
      <c r="J14" t="s">
        <v>199</v>
      </c>
      <c r="K14">
        <v>13</v>
      </c>
      <c r="L14" t="s">
        <v>540</v>
      </c>
      <c r="M14" t="str">
        <f t="shared" si="0"/>
        <v>13 Years old</v>
      </c>
      <c r="N14" t="s">
        <v>555</v>
      </c>
      <c r="O14" t="s">
        <v>625</v>
      </c>
      <c r="P14" t="s">
        <v>595</v>
      </c>
      <c r="V14" s="5">
        <f ca="1">EOMONTH(Y1,0)</f>
        <v>44926</v>
      </c>
      <c r="AA14" t="s">
        <v>732</v>
      </c>
      <c r="AB14" s="2" t="s">
        <v>709</v>
      </c>
      <c r="AF14" t="e">
        <f>IF(#REF! &lt;= " "," ",#REF!)</f>
        <v>#REF!</v>
      </c>
    </row>
    <row r="15" spans="1:41" x14ac:dyDescent="0.25">
      <c r="D15" s="2"/>
      <c r="E15" t="s">
        <v>632</v>
      </c>
      <c r="F15" s="4" t="s">
        <v>659</v>
      </c>
      <c r="I15" t="s">
        <v>90</v>
      </c>
      <c r="J15" t="s">
        <v>200</v>
      </c>
      <c r="K15">
        <v>14</v>
      </c>
      <c r="L15" t="s">
        <v>540</v>
      </c>
      <c r="M15" t="str">
        <f t="shared" si="0"/>
        <v>14 Years old</v>
      </c>
      <c r="N15" t="s">
        <v>556</v>
      </c>
      <c r="O15" t="s">
        <v>581</v>
      </c>
      <c r="P15" t="s">
        <v>596</v>
      </c>
      <c r="V15" s="5" t="str">
        <f ca="1">TEXT(EOMONTH(Y1,-1)+1,"DD-MMM-YY")</f>
        <v>01-Dec-22</v>
      </c>
      <c r="AA15" t="s">
        <v>10</v>
      </c>
      <c r="AB15" s="2" t="s">
        <v>694</v>
      </c>
      <c r="AF15" t="e">
        <f>IF(#REF! &lt;= " "," ",#REF!)</f>
        <v>#REF!</v>
      </c>
    </row>
    <row r="16" spans="1:41" x14ac:dyDescent="0.25">
      <c r="D16" s="2"/>
      <c r="E16" t="s">
        <v>643</v>
      </c>
      <c r="F16" s="4" t="s">
        <v>659</v>
      </c>
      <c r="I16" t="s">
        <v>91</v>
      </c>
      <c r="J16" t="s">
        <v>201</v>
      </c>
      <c r="K16">
        <v>15</v>
      </c>
      <c r="L16" t="s">
        <v>540</v>
      </c>
      <c r="M16" t="str">
        <f t="shared" si="0"/>
        <v>15 Years old</v>
      </c>
      <c r="N16" t="s">
        <v>557</v>
      </c>
      <c r="O16" t="s">
        <v>582</v>
      </c>
      <c r="P16" t="s">
        <v>597</v>
      </c>
      <c r="AA16" t="s">
        <v>46</v>
      </c>
      <c r="AB16" s="2" t="s">
        <v>691</v>
      </c>
      <c r="AF16" t="e">
        <f>IF(#REF! &lt;= " "," ",#REF!)</f>
        <v>#REF!</v>
      </c>
    </row>
    <row r="17" spans="4:32" x14ac:dyDescent="0.25">
      <c r="D17" s="3"/>
      <c r="E17" t="s">
        <v>0</v>
      </c>
      <c r="F17" s="4" t="s">
        <v>660</v>
      </c>
      <c r="I17" t="s">
        <v>92</v>
      </c>
      <c r="J17" t="s">
        <v>202</v>
      </c>
      <c r="K17">
        <v>16</v>
      </c>
      <c r="L17" t="s">
        <v>540</v>
      </c>
      <c r="M17" t="str">
        <f t="shared" si="0"/>
        <v>16 Years old</v>
      </c>
      <c r="N17" t="s">
        <v>558</v>
      </c>
      <c r="P17" t="s">
        <v>599</v>
      </c>
      <c r="AA17" t="s">
        <v>11</v>
      </c>
      <c r="AB17" s="2" t="s">
        <v>695</v>
      </c>
      <c r="AF17" t="e">
        <f>IF(#REF! &lt;= " "," ",#REF!)</f>
        <v>#REF!</v>
      </c>
    </row>
    <row r="18" spans="4:32" x14ac:dyDescent="0.25">
      <c r="D18" s="3"/>
      <c r="E18" t="s">
        <v>64</v>
      </c>
      <c r="F18" s="4" t="s">
        <v>660</v>
      </c>
      <c r="I18" t="s">
        <v>93</v>
      </c>
      <c r="J18" t="s">
        <v>203</v>
      </c>
      <c r="K18">
        <v>17</v>
      </c>
      <c r="L18" t="s">
        <v>540</v>
      </c>
      <c r="M18" t="str">
        <f t="shared" si="0"/>
        <v>17 Years old</v>
      </c>
      <c r="N18" t="s">
        <v>559</v>
      </c>
      <c r="P18" t="s">
        <v>600</v>
      </c>
      <c r="AA18" t="s">
        <v>5</v>
      </c>
      <c r="AB18" s="2" t="s">
        <v>658</v>
      </c>
      <c r="AF18" t="e">
        <f>IF(#REF! &lt;= " "," ",#REF!)</f>
        <v>#REF!</v>
      </c>
    </row>
    <row r="19" spans="4:32" x14ac:dyDescent="0.25">
      <c r="D19" s="3"/>
      <c r="E19" t="s">
        <v>21</v>
      </c>
      <c r="F19" s="4" t="s">
        <v>661</v>
      </c>
      <c r="I19" t="s">
        <v>94</v>
      </c>
      <c r="J19" t="s">
        <v>204</v>
      </c>
      <c r="K19">
        <v>18</v>
      </c>
      <c r="L19" t="s">
        <v>540</v>
      </c>
      <c r="M19" t="str">
        <f t="shared" si="0"/>
        <v>18 Years old</v>
      </c>
      <c r="N19" t="s">
        <v>560</v>
      </c>
      <c r="P19" t="s">
        <v>601</v>
      </c>
      <c r="AB19" s="2"/>
      <c r="AF19" t="e">
        <f>IF(#REF! &lt;= " "," ",#REF!)</f>
        <v>#REF!</v>
      </c>
    </row>
    <row r="20" spans="4:32" x14ac:dyDescent="0.25">
      <c r="D20" s="3"/>
      <c r="E20" t="s">
        <v>63</v>
      </c>
      <c r="F20" s="4" t="s">
        <v>661</v>
      </c>
      <c r="I20" t="s">
        <v>95</v>
      </c>
      <c r="J20" t="s">
        <v>205</v>
      </c>
      <c r="K20">
        <v>19</v>
      </c>
      <c r="L20" t="s">
        <v>540</v>
      </c>
      <c r="M20" t="str">
        <f t="shared" si="0"/>
        <v>19 Years old</v>
      </c>
      <c r="N20" t="s">
        <v>561</v>
      </c>
      <c r="P20" t="s">
        <v>602</v>
      </c>
      <c r="AB20" s="2"/>
      <c r="AF20" t="e">
        <f>IF(#REF! &lt;= " "," ",#REF!)</f>
        <v>#REF!</v>
      </c>
    </row>
    <row r="21" spans="4:32" x14ac:dyDescent="0.25">
      <c r="D21" s="3"/>
      <c r="E21" t="s">
        <v>22</v>
      </c>
      <c r="F21" s="4" t="s">
        <v>662</v>
      </c>
      <c r="I21" t="s">
        <v>96</v>
      </c>
      <c r="J21" t="s">
        <v>206</v>
      </c>
      <c r="K21">
        <v>20</v>
      </c>
      <c r="L21" t="s">
        <v>540</v>
      </c>
      <c r="M21" t="str">
        <f t="shared" si="0"/>
        <v>20 Years old</v>
      </c>
      <c r="N21" t="s">
        <v>562</v>
      </c>
      <c r="P21" t="s">
        <v>603</v>
      </c>
      <c r="AB21" s="2"/>
      <c r="AF21" t="e">
        <f>IF(#REF! &lt;= " "," ",#REF!)</f>
        <v>#REF!</v>
      </c>
    </row>
    <row r="22" spans="4:32" x14ac:dyDescent="0.25">
      <c r="D22" s="3"/>
      <c r="E22" t="s">
        <v>6</v>
      </c>
      <c r="F22" s="4" t="s">
        <v>663</v>
      </c>
      <c r="I22" t="s">
        <v>97</v>
      </c>
      <c r="J22" t="s">
        <v>207</v>
      </c>
      <c r="K22">
        <v>21</v>
      </c>
      <c r="L22" t="s">
        <v>540</v>
      </c>
      <c r="M22" t="str">
        <f t="shared" si="0"/>
        <v>21 Years old</v>
      </c>
      <c r="N22" t="s">
        <v>563</v>
      </c>
      <c r="P22" t="s">
        <v>604</v>
      </c>
      <c r="AF22" t="e">
        <f>IF(#REF! &lt;= " "," ",#REF!)</f>
        <v>#REF!</v>
      </c>
    </row>
    <row r="23" spans="4:32" x14ac:dyDescent="0.25">
      <c r="D23" s="3"/>
      <c r="E23" t="s">
        <v>23</v>
      </c>
      <c r="F23" s="4" t="s">
        <v>663</v>
      </c>
      <c r="I23" t="s">
        <v>98</v>
      </c>
      <c r="J23" t="s">
        <v>208</v>
      </c>
      <c r="K23">
        <v>22</v>
      </c>
      <c r="L23" t="s">
        <v>540</v>
      </c>
      <c r="M23" t="str">
        <f t="shared" si="0"/>
        <v>22 Years old</v>
      </c>
      <c r="N23" t="s">
        <v>564</v>
      </c>
      <c r="P23" t="s">
        <v>605</v>
      </c>
      <c r="AF23" t="e">
        <f>IF(#REF! &lt;= " "," ",#REF!)</f>
        <v>#REF!</v>
      </c>
    </row>
    <row r="24" spans="4:32" x14ac:dyDescent="0.25">
      <c r="D24" s="3"/>
      <c r="E24" t="s">
        <v>24</v>
      </c>
      <c r="F24" s="4" t="s">
        <v>664</v>
      </c>
      <c r="I24" t="s">
        <v>99</v>
      </c>
      <c r="J24" t="s">
        <v>209</v>
      </c>
      <c r="K24">
        <v>23</v>
      </c>
      <c r="L24" t="s">
        <v>540</v>
      </c>
      <c r="M24" t="str">
        <f t="shared" si="0"/>
        <v>23 Years old</v>
      </c>
      <c r="N24" t="s">
        <v>565</v>
      </c>
      <c r="P24" t="s">
        <v>608</v>
      </c>
      <c r="AF24" t="e">
        <f>IF(#REF! &lt;= " "," ",#REF!)</f>
        <v>#REF!</v>
      </c>
    </row>
    <row r="25" spans="4:32" x14ac:dyDescent="0.25">
      <c r="D25" s="3"/>
      <c r="E25" t="s">
        <v>633</v>
      </c>
      <c r="F25" s="4" t="s">
        <v>664</v>
      </c>
      <c r="I25" t="s">
        <v>100</v>
      </c>
      <c r="J25" t="s">
        <v>210</v>
      </c>
      <c r="K25">
        <v>24</v>
      </c>
      <c r="L25" t="s">
        <v>540</v>
      </c>
      <c r="M25" t="str">
        <f t="shared" si="0"/>
        <v>24 Years old</v>
      </c>
      <c r="N25" t="s">
        <v>566</v>
      </c>
      <c r="P25" t="s">
        <v>609</v>
      </c>
      <c r="AF25" t="e">
        <f>IF(#REF! &lt;= " "," ",#REF!)</f>
        <v>#REF!</v>
      </c>
    </row>
    <row r="26" spans="4:32" x14ac:dyDescent="0.25">
      <c r="D26" s="3"/>
      <c r="E26" t="s">
        <v>39</v>
      </c>
      <c r="F26" s="4" t="s">
        <v>665</v>
      </c>
      <c r="I26" t="s">
        <v>101</v>
      </c>
      <c r="J26" t="s">
        <v>211</v>
      </c>
      <c r="K26">
        <v>25</v>
      </c>
      <c r="L26" t="s">
        <v>540</v>
      </c>
      <c r="M26" t="str">
        <f t="shared" si="0"/>
        <v>25 Years old</v>
      </c>
      <c r="N26" t="s">
        <v>567</v>
      </c>
      <c r="P26" t="s">
        <v>610</v>
      </c>
      <c r="AF26" t="e">
        <f>IF(#REF! &lt;= " "," ",#REF!)</f>
        <v>#REF!</v>
      </c>
    </row>
    <row r="27" spans="4:32" x14ac:dyDescent="0.25">
      <c r="D27" s="3"/>
      <c r="E27" t="s">
        <v>7</v>
      </c>
      <c r="F27" s="4" t="s">
        <v>666</v>
      </c>
      <c r="I27" t="s">
        <v>102</v>
      </c>
      <c r="J27" t="s">
        <v>212</v>
      </c>
      <c r="K27">
        <v>26</v>
      </c>
      <c r="L27" t="s">
        <v>540</v>
      </c>
      <c r="M27" t="str">
        <f t="shared" si="0"/>
        <v>26 Years old</v>
      </c>
      <c r="N27" t="s">
        <v>568</v>
      </c>
      <c r="P27" t="s">
        <v>611</v>
      </c>
      <c r="AF27" t="e">
        <f>IF(#REF! &lt;= " "," ",#REF!)</f>
        <v>#REF!</v>
      </c>
    </row>
    <row r="28" spans="4:32" x14ac:dyDescent="0.25">
      <c r="D28" s="3"/>
      <c r="E28" t="s">
        <v>25</v>
      </c>
      <c r="F28" s="4" t="s">
        <v>666</v>
      </c>
      <c r="I28" t="s">
        <v>103</v>
      </c>
      <c r="J28" t="s">
        <v>213</v>
      </c>
      <c r="K28">
        <v>27</v>
      </c>
      <c r="L28" t="s">
        <v>540</v>
      </c>
      <c r="M28" t="str">
        <f t="shared" si="0"/>
        <v>27 Years old</v>
      </c>
      <c r="N28" t="s">
        <v>569</v>
      </c>
      <c r="P28" t="s">
        <v>612</v>
      </c>
      <c r="AF28" t="e">
        <f>IF(#REF! &lt;= " "," ",#REF!)</f>
        <v>#REF!</v>
      </c>
    </row>
    <row r="29" spans="4:32" x14ac:dyDescent="0.25">
      <c r="D29" s="3"/>
      <c r="E29" t="s">
        <v>26</v>
      </c>
      <c r="F29" s="4" t="s">
        <v>667</v>
      </c>
      <c r="I29" t="s">
        <v>104</v>
      </c>
      <c r="J29" t="s">
        <v>214</v>
      </c>
      <c r="K29">
        <v>28</v>
      </c>
      <c r="L29" t="s">
        <v>540</v>
      </c>
      <c r="M29" t="str">
        <f t="shared" si="0"/>
        <v>28 Years old</v>
      </c>
      <c r="N29" t="s">
        <v>570</v>
      </c>
      <c r="P29" t="s">
        <v>613</v>
      </c>
      <c r="AF29" t="e">
        <f>IF(#REF! &lt;= " "," ",#REF!)</f>
        <v>#REF!</v>
      </c>
    </row>
    <row r="30" spans="4:32" x14ac:dyDescent="0.25">
      <c r="D30" s="3"/>
      <c r="E30" t="s">
        <v>57</v>
      </c>
      <c r="F30" s="4" t="s">
        <v>668</v>
      </c>
      <c r="I30" t="s">
        <v>105</v>
      </c>
      <c r="J30" t="s">
        <v>215</v>
      </c>
      <c r="K30">
        <v>29</v>
      </c>
      <c r="L30" t="s">
        <v>540</v>
      </c>
      <c r="M30" t="str">
        <f t="shared" si="0"/>
        <v>29 Years old</v>
      </c>
      <c r="N30" t="s">
        <v>575</v>
      </c>
      <c r="P30" t="s">
        <v>614</v>
      </c>
      <c r="AF30" t="e">
        <f>IF(#REF! &lt;= " "," ",#REF!)</f>
        <v>#REF!</v>
      </c>
    </row>
    <row r="31" spans="4:32" x14ac:dyDescent="0.25">
      <c r="D31" s="3"/>
      <c r="E31" t="s">
        <v>37</v>
      </c>
      <c r="F31" s="4" t="s">
        <v>669</v>
      </c>
      <c r="I31" t="s">
        <v>106</v>
      </c>
      <c r="J31" t="s">
        <v>216</v>
      </c>
      <c r="K31">
        <v>30</v>
      </c>
      <c r="L31" t="s">
        <v>540</v>
      </c>
      <c r="M31" t="str">
        <f t="shared" si="0"/>
        <v>30 Years old</v>
      </c>
      <c r="N31" t="s">
        <v>571</v>
      </c>
      <c r="P31" t="s">
        <v>615</v>
      </c>
      <c r="AF31" t="e">
        <f>IF(#REF! &lt;= " "," ",#REF!)</f>
        <v>#REF!</v>
      </c>
    </row>
    <row r="32" spans="4:32" x14ac:dyDescent="0.25">
      <c r="D32" s="3"/>
      <c r="E32" t="s">
        <v>27</v>
      </c>
      <c r="F32" s="4" t="s">
        <v>670</v>
      </c>
      <c r="I32" t="s">
        <v>107</v>
      </c>
      <c r="J32" t="s">
        <v>217</v>
      </c>
      <c r="K32">
        <v>31</v>
      </c>
      <c r="L32" t="s">
        <v>540</v>
      </c>
      <c r="M32" t="str">
        <f t="shared" si="0"/>
        <v>31 Years old</v>
      </c>
      <c r="N32" t="s">
        <v>572</v>
      </c>
      <c r="P32" t="s">
        <v>616</v>
      </c>
      <c r="AF32" t="e">
        <f>IF(#REF! &lt;= " "," ",#REF!)</f>
        <v>#REF!</v>
      </c>
    </row>
    <row r="33" spans="4:32" x14ac:dyDescent="0.25">
      <c r="D33" s="3"/>
      <c r="E33" t="s">
        <v>8</v>
      </c>
      <c r="F33" s="4" t="s">
        <v>671</v>
      </c>
      <c r="I33" t="s">
        <v>108</v>
      </c>
      <c r="J33" t="s">
        <v>218</v>
      </c>
      <c r="K33">
        <v>32</v>
      </c>
      <c r="L33" t="s">
        <v>540</v>
      </c>
      <c r="M33" t="str">
        <f t="shared" si="0"/>
        <v>32 Years old</v>
      </c>
      <c r="N33" t="s">
        <v>574</v>
      </c>
      <c r="P33" t="s">
        <v>617</v>
      </c>
      <c r="AF33" t="e">
        <f>IF(#REF! &lt;= " "," ",#REF!)</f>
        <v>#REF!</v>
      </c>
    </row>
    <row r="34" spans="4:32" x14ac:dyDescent="0.25">
      <c r="D34" s="3"/>
      <c r="E34" t="s">
        <v>28</v>
      </c>
      <c r="F34" s="4" t="s">
        <v>671</v>
      </c>
      <c r="I34" t="s">
        <v>109</v>
      </c>
      <c r="J34" t="s">
        <v>219</v>
      </c>
      <c r="K34">
        <v>33</v>
      </c>
      <c r="L34" t="s">
        <v>540</v>
      </c>
      <c r="M34" t="str">
        <f t="shared" si="0"/>
        <v>33 Years old</v>
      </c>
      <c r="N34" t="s">
        <v>583</v>
      </c>
      <c r="P34" t="s">
        <v>707</v>
      </c>
      <c r="AF34" t="e">
        <f>IF(#REF! &lt;= " "," ",#REF!)</f>
        <v>#REF!</v>
      </c>
    </row>
    <row r="35" spans="4:32" x14ac:dyDescent="0.25">
      <c r="D35" s="3"/>
      <c r="E35" t="s">
        <v>29</v>
      </c>
      <c r="F35" s="4" t="s">
        <v>672</v>
      </c>
      <c r="I35" t="s">
        <v>110</v>
      </c>
      <c r="J35" t="s">
        <v>220</v>
      </c>
      <c r="K35">
        <v>34</v>
      </c>
      <c r="L35" t="s">
        <v>540</v>
      </c>
      <c r="M35" t="str">
        <f t="shared" si="0"/>
        <v>34 Years old</v>
      </c>
      <c r="N35" t="s">
        <v>584</v>
      </c>
      <c r="AF35" t="e">
        <f>IF(#REF! &lt;= " "," ",#REF!)</f>
        <v>#REF!</v>
      </c>
    </row>
    <row r="36" spans="4:32" x14ac:dyDescent="0.25">
      <c r="D36" s="3"/>
      <c r="E36" t="s">
        <v>30</v>
      </c>
      <c r="F36" s="4" t="s">
        <v>673</v>
      </c>
      <c r="I36" t="s">
        <v>111</v>
      </c>
      <c r="J36" t="s">
        <v>221</v>
      </c>
      <c r="K36">
        <v>35</v>
      </c>
      <c r="L36" t="s">
        <v>540</v>
      </c>
      <c r="M36" t="str">
        <f t="shared" si="0"/>
        <v>35 Years old</v>
      </c>
      <c r="AF36" t="e">
        <f>IF(#REF! &lt;= " "," ",#REF!)</f>
        <v>#REF!</v>
      </c>
    </row>
    <row r="37" spans="4:32" x14ac:dyDescent="0.25">
      <c r="D37" s="2"/>
      <c r="E37" t="s">
        <v>9</v>
      </c>
      <c r="F37" s="4" t="s">
        <v>674</v>
      </c>
      <c r="I37" t="s">
        <v>112</v>
      </c>
      <c r="J37" t="s">
        <v>222</v>
      </c>
      <c r="K37">
        <v>36</v>
      </c>
      <c r="L37" t="s">
        <v>540</v>
      </c>
      <c r="M37" t="str">
        <f t="shared" si="0"/>
        <v>36 Years old</v>
      </c>
      <c r="AF37" t="e">
        <f>IF(#REF! &lt;= " "," ",#REF!)</f>
        <v>#REF!</v>
      </c>
    </row>
    <row r="38" spans="4:32" x14ac:dyDescent="0.25">
      <c r="D38" s="2"/>
      <c r="E38" t="s">
        <v>31</v>
      </c>
      <c r="F38" s="4" t="s">
        <v>674</v>
      </c>
      <c r="I38" t="s">
        <v>113</v>
      </c>
      <c r="J38" t="s">
        <v>223</v>
      </c>
      <c r="K38">
        <v>37</v>
      </c>
      <c r="L38" t="s">
        <v>540</v>
      </c>
      <c r="M38" t="str">
        <f t="shared" si="0"/>
        <v>37 Years old</v>
      </c>
      <c r="AF38" t="e">
        <f>IF(#REF! &lt;= " "," ",#REF!)</f>
        <v>#REF!</v>
      </c>
    </row>
    <row r="39" spans="4:32" x14ac:dyDescent="0.25">
      <c r="D39" s="2"/>
      <c r="E39" t="s">
        <v>644</v>
      </c>
      <c r="F39" s="4" t="s">
        <v>675</v>
      </c>
      <c r="I39" t="s">
        <v>114</v>
      </c>
      <c r="J39" t="s">
        <v>224</v>
      </c>
      <c r="K39">
        <v>38</v>
      </c>
      <c r="L39" t="s">
        <v>540</v>
      </c>
      <c r="M39" t="str">
        <f t="shared" si="0"/>
        <v>38 Years old</v>
      </c>
      <c r="AF39" t="e">
        <f>IF(#REF! &lt;= " "," ",#REF!)</f>
        <v>#REF!</v>
      </c>
    </row>
    <row r="40" spans="4:32" x14ac:dyDescent="0.25">
      <c r="D40" s="2"/>
      <c r="E40" t="s">
        <v>634</v>
      </c>
      <c r="F40" s="4" t="s">
        <v>675</v>
      </c>
      <c r="I40" t="s">
        <v>115</v>
      </c>
      <c r="J40" t="s">
        <v>225</v>
      </c>
      <c r="K40">
        <v>39</v>
      </c>
      <c r="L40" t="s">
        <v>540</v>
      </c>
      <c r="M40" t="str">
        <f t="shared" si="0"/>
        <v>39 Years old</v>
      </c>
      <c r="AF40" t="e">
        <f>IF(#REF! &lt;= " "," ",#REF!)</f>
        <v>#REF!</v>
      </c>
    </row>
    <row r="41" spans="4:32" x14ac:dyDescent="0.25">
      <c r="D41" s="2"/>
      <c r="E41" t="s">
        <v>38</v>
      </c>
      <c r="F41" s="4" t="s">
        <v>676</v>
      </c>
      <c r="I41" t="s">
        <v>116</v>
      </c>
      <c r="J41" t="s">
        <v>226</v>
      </c>
      <c r="K41">
        <v>40</v>
      </c>
      <c r="L41" t="s">
        <v>540</v>
      </c>
      <c r="M41" t="str">
        <f t="shared" si="0"/>
        <v>40 Years old</v>
      </c>
      <c r="AF41" t="e">
        <f>IF(#REF! &lt;= " "," ",#REF!)</f>
        <v>#REF!</v>
      </c>
    </row>
    <row r="42" spans="4:32" x14ac:dyDescent="0.25">
      <c r="D42" s="2"/>
      <c r="E42" t="s">
        <v>645</v>
      </c>
      <c r="F42" s="4" t="s">
        <v>677</v>
      </c>
      <c r="I42" t="s">
        <v>117</v>
      </c>
      <c r="J42" t="s">
        <v>227</v>
      </c>
      <c r="K42">
        <v>41</v>
      </c>
      <c r="L42" t="s">
        <v>540</v>
      </c>
      <c r="M42" t="str">
        <f t="shared" si="0"/>
        <v>41 Years old</v>
      </c>
      <c r="AF42" t="e">
        <f>IF(#REF! &lt;= " "," ",#REF!)</f>
        <v>#REF!</v>
      </c>
    </row>
    <row r="43" spans="4:32" x14ac:dyDescent="0.25">
      <c r="D43" s="2"/>
      <c r="E43" t="s">
        <v>32</v>
      </c>
      <c r="F43" s="4" t="s">
        <v>678</v>
      </c>
      <c r="I43" t="s">
        <v>118</v>
      </c>
      <c r="J43" t="s">
        <v>228</v>
      </c>
      <c r="K43">
        <v>42</v>
      </c>
      <c r="L43" t="s">
        <v>540</v>
      </c>
      <c r="M43" t="str">
        <f t="shared" si="0"/>
        <v>42 Years old</v>
      </c>
      <c r="AF43" t="e">
        <f>IF(#REF! &lt;= " "," ",#REF!)</f>
        <v>#REF!</v>
      </c>
    </row>
    <row r="44" spans="4:32" x14ac:dyDescent="0.25">
      <c r="D44" s="2"/>
      <c r="E44" t="s">
        <v>10</v>
      </c>
      <c r="F44" s="4" t="s">
        <v>694</v>
      </c>
      <c r="I44" t="s">
        <v>119</v>
      </c>
      <c r="J44" t="s">
        <v>229</v>
      </c>
      <c r="K44">
        <v>43</v>
      </c>
      <c r="L44" t="s">
        <v>540</v>
      </c>
      <c r="M44" t="str">
        <f t="shared" si="0"/>
        <v>43 Years old</v>
      </c>
      <c r="AF44" t="e">
        <f>IF(#REF! &lt;= " "," ",#REF!)</f>
        <v>#REF!</v>
      </c>
    </row>
    <row r="45" spans="4:32" x14ac:dyDescent="0.25">
      <c r="D45" s="2"/>
      <c r="E45" t="s">
        <v>33</v>
      </c>
      <c r="F45" s="4" t="s">
        <v>679</v>
      </c>
      <c r="I45" t="s">
        <v>120</v>
      </c>
      <c r="J45" t="s">
        <v>230</v>
      </c>
      <c r="K45">
        <v>44</v>
      </c>
      <c r="L45" t="s">
        <v>540</v>
      </c>
      <c r="M45" t="str">
        <f t="shared" si="0"/>
        <v>44 Years old</v>
      </c>
      <c r="AF45" t="e">
        <f>IF(#REF! &lt;= " "," ",#REF!)</f>
        <v>#REF!</v>
      </c>
    </row>
    <row r="46" spans="4:32" x14ac:dyDescent="0.25">
      <c r="D46" s="2"/>
      <c r="E46" t="s">
        <v>635</v>
      </c>
      <c r="F46" s="4" t="s">
        <v>679</v>
      </c>
      <c r="I46" t="s">
        <v>121</v>
      </c>
      <c r="J46" t="s">
        <v>231</v>
      </c>
      <c r="K46">
        <v>45</v>
      </c>
      <c r="L46" t="s">
        <v>540</v>
      </c>
      <c r="M46" t="str">
        <f t="shared" si="0"/>
        <v>45 Years old</v>
      </c>
      <c r="AF46" t="e">
        <f>IF(#REF! &lt;= " "," ",#REF!)</f>
        <v>#REF!</v>
      </c>
    </row>
    <row r="47" spans="4:32" x14ac:dyDescent="0.25">
      <c r="D47" s="2"/>
      <c r="E47" t="s">
        <v>34</v>
      </c>
      <c r="F47" s="4" t="s">
        <v>680</v>
      </c>
      <c r="I47" t="s">
        <v>122</v>
      </c>
      <c r="J47" t="s">
        <v>232</v>
      </c>
      <c r="K47">
        <v>46</v>
      </c>
      <c r="L47" t="s">
        <v>540</v>
      </c>
      <c r="M47" t="str">
        <f t="shared" si="0"/>
        <v>46 Years old</v>
      </c>
      <c r="AF47" t="e">
        <f>IF(#REF! &lt;= " "," ",#REF!)</f>
        <v>#REF!</v>
      </c>
    </row>
    <row r="48" spans="4:32" x14ac:dyDescent="0.25">
      <c r="D48" s="2"/>
      <c r="E48" t="s">
        <v>11</v>
      </c>
      <c r="F48" s="4" t="s">
        <v>695</v>
      </c>
      <c r="I48" t="s">
        <v>123</v>
      </c>
      <c r="J48" t="s">
        <v>233</v>
      </c>
      <c r="K48">
        <v>47</v>
      </c>
      <c r="L48" t="s">
        <v>540</v>
      </c>
      <c r="M48" t="str">
        <f t="shared" si="0"/>
        <v>47 Years old</v>
      </c>
      <c r="AF48" t="e">
        <f>IF(#REF! &lt;= " "," ",#REF!)</f>
        <v>#REF!</v>
      </c>
    </row>
    <row r="49" spans="4:32" x14ac:dyDescent="0.25">
      <c r="D49" s="2"/>
      <c r="E49" t="s">
        <v>45</v>
      </c>
      <c r="F49" s="4" t="s">
        <v>681</v>
      </c>
      <c r="I49" t="s">
        <v>124</v>
      </c>
      <c r="J49" t="s">
        <v>234</v>
      </c>
      <c r="K49">
        <v>48</v>
      </c>
      <c r="L49" t="s">
        <v>540</v>
      </c>
      <c r="M49" t="str">
        <f t="shared" si="0"/>
        <v>48 Years old</v>
      </c>
      <c r="AF49" t="e">
        <f>IF(#REF! &lt;= " "," ",#REF!)</f>
        <v>#REF!</v>
      </c>
    </row>
    <row r="50" spans="4:32" x14ac:dyDescent="0.25">
      <c r="D50" s="2"/>
      <c r="E50" t="s">
        <v>55</v>
      </c>
      <c r="F50" s="4" t="s">
        <v>681</v>
      </c>
      <c r="I50" t="s">
        <v>125</v>
      </c>
      <c r="J50" t="s">
        <v>235</v>
      </c>
      <c r="K50">
        <v>49</v>
      </c>
      <c r="L50" t="s">
        <v>540</v>
      </c>
      <c r="M50" t="str">
        <f t="shared" si="0"/>
        <v>49 Years old</v>
      </c>
      <c r="AF50" t="e">
        <f>IF(#REF! &lt;= " "," ",#REF!)</f>
        <v>#REF!</v>
      </c>
    </row>
    <row r="51" spans="4:32" x14ac:dyDescent="0.25">
      <c r="E51" t="s">
        <v>646</v>
      </c>
      <c r="F51" s="4" t="s">
        <v>682</v>
      </c>
      <c r="I51" t="s">
        <v>126</v>
      </c>
      <c r="J51" t="s">
        <v>236</v>
      </c>
      <c r="K51">
        <v>50</v>
      </c>
      <c r="L51" t="s">
        <v>540</v>
      </c>
      <c r="M51" t="str">
        <f t="shared" si="0"/>
        <v>50 Years old</v>
      </c>
      <c r="AF51" t="e">
        <f>IF(#REF! &lt;= " "," ",#REF!)</f>
        <v>#REF!</v>
      </c>
    </row>
    <row r="52" spans="4:32" x14ac:dyDescent="0.25">
      <c r="E52" t="s">
        <v>636</v>
      </c>
      <c r="F52" s="4" t="s">
        <v>696</v>
      </c>
      <c r="I52" t="s">
        <v>127</v>
      </c>
      <c r="J52" t="s">
        <v>237</v>
      </c>
      <c r="K52">
        <v>51</v>
      </c>
      <c r="L52" t="s">
        <v>540</v>
      </c>
      <c r="M52" t="str">
        <f t="shared" si="0"/>
        <v>51 Years old</v>
      </c>
      <c r="AF52" t="e">
        <f>IF(#REF! &lt;= " "," ",#REF!)</f>
        <v>#REF!</v>
      </c>
    </row>
    <row r="53" spans="4:32" x14ac:dyDescent="0.25">
      <c r="E53" t="s">
        <v>35</v>
      </c>
      <c r="F53" s="4" t="s">
        <v>683</v>
      </c>
      <c r="I53" t="s">
        <v>128</v>
      </c>
      <c r="J53" t="s">
        <v>238</v>
      </c>
      <c r="K53">
        <v>52</v>
      </c>
      <c r="L53" t="s">
        <v>540</v>
      </c>
      <c r="M53" t="str">
        <f t="shared" si="0"/>
        <v>52 Years old</v>
      </c>
      <c r="AF53" t="e">
        <f>IF(#REF! &lt;= " "," ",#REF!)</f>
        <v>#REF!</v>
      </c>
    </row>
    <row r="54" spans="4:32" x14ac:dyDescent="0.25">
      <c r="E54" t="s">
        <v>637</v>
      </c>
      <c r="F54" s="4" t="s">
        <v>697</v>
      </c>
      <c r="I54" t="s">
        <v>129</v>
      </c>
      <c r="J54" t="s">
        <v>239</v>
      </c>
      <c r="K54">
        <v>53</v>
      </c>
      <c r="L54" t="s">
        <v>540</v>
      </c>
      <c r="M54" t="str">
        <f t="shared" si="0"/>
        <v>53 Years old</v>
      </c>
      <c r="AF54" t="e">
        <f>IF(#REF! &lt;= " "," ",#REF!)</f>
        <v>#REF!</v>
      </c>
    </row>
    <row r="55" spans="4:32" x14ac:dyDescent="0.25">
      <c r="E55" t="s">
        <v>62</v>
      </c>
      <c r="F55" s="4" t="s">
        <v>698</v>
      </c>
      <c r="I55" t="s">
        <v>130</v>
      </c>
      <c r="J55" t="s">
        <v>240</v>
      </c>
      <c r="K55">
        <v>54</v>
      </c>
      <c r="L55" t="s">
        <v>540</v>
      </c>
      <c r="M55" t="str">
        <f t="shared" si="0"/>
        <v>54 Years old</v>
      </c>
      <c r="AF55" t="e">
        <f>IF(#REF! &lt;= " "," ",#REF!)</f>
        <v>#REF!</v>
      </c>
    </row>
    <row r="56" spans="4:32" x14ac:dyDescent="0.25">
      <c r="E56" t="s">
        <v>647</v>
      </c>
      <c r="F56" s="4" t="s">
        <v>684</v>
      </c>
      <c r="I56" t="s">
        <v>131</v>
      </c>
      <c r="J56" t="s">
        <v>241</v>
      </c>
      <c r="K56">
        <v>55</v>
      </c>
      <c r="L56" t="s">
        <v>540</v>
      </c>
      <c r="M56" t="str">
        <f t="shared" si="0"/>
        <v>55 Years old</v>
      </c>
      <c r="AF56" t="e">
        <f>IF(#REF! &lt;= " "," ",#REF!)</f>
        <v>#REF!</v>
      </c>
    </row>
    <row r="57" spans="4:32" x14ac:dyDescent="0.25">
      <c r="E57" t="s">
        <v>648</v>
      </c>
      <c r="F57" s="4" t="s">
        <v>685</v>
      </c>
      <c r="I57" t="s">
        <v>132</v>
      </c>
      <c r="J57" t="s">
        <v>242</v>
      </c>
      <c r="K57">
        <v>56</v>
      </c>
      <c r="L57" t="s">
        <v>540</v>
      </c>
      <c r="M57" t="str">
        <f t="shared" si="0"/>
        <v>56 Years old</v>
      </c>
      <c r="AF57" t="e">
        <f>IF(#REF! &lt;= " "," ",#REF!)</f>
        <v>#REF!</v>
      </c>
    </row>
    <row r="58" spans="4:32" x14ac:dyDescent="0.25">
      <c r="E58" t="s">
        <v>638</v>
      </c>
      <c r="F58" s="4" t="s">
        <v>685</v>
      </c>
      <c r="I58" t="s">
        <v>133</v>
      </c>
      <c r="J58" t="s">
        <v>243</v>
      </c>
      <c r="K58">
        <v>57</v>
      </c>
      <c r="L58" t="s">
        <v>540</v>
      </c>
      <c r="M58" t="str">
        <f t="shared" si="0"/>
        <v>57 Years old</v>
      </c>
      <c r="AF58" t="e">
        <f>IF(#REF! &lt;= " "," ",#REF!)</f>
        <v>#REF!</v>
      </c>
    </row>
    <row r="59" spans="4:32" x14ac:dyDescent="0.25">
      <c r="E59" t="s">
        <v>40</v>
      </c>
      <c r="F59" s="4" t="s">
        <v>699</v>
      </c>
      <c r="I59" t="s">
        <v>134</v>
      </c>
      <c r="J59" t="s">
        <v>244</v>
      </c>
      <c r="K59">
        <v>58</v>
      </c>
      <c r="L59" t="s">
        <v>540</v>
      </c>
      <c r="M59" t="str">
        <f t="shared" si="0"/>
        <v>58 Years old</v>
      </c>
      <c r="AF59" t="e">
        <f>IF(#REF! &lt;= " "," ",#REF!)</f>
        <v>#REF!</v>
      </c>
    </row>
    <row r="60" spans="4:32" x14ac:dyDescent="0.25">
      <c r="E60" t="s">
        <v>47</v>
      </c>
      <c r="F60" s="4" t="s">
        <v>686</v>
      </c>
      <c r="I60" t="s">
        <v>135</v>
      </c>
      <c r="J60" t="s">
        <v>245</v>
      </c>
      <c r="K60">
        <v>59</v>
      </c>
      <c r="L60" t="s">
        <v>540</v>
      </c>
      <c r="M60" t="str">
        <f t="shared" si="0"/>
        <v>59 Years old</v>
      </c>
      <c r="AF60" t="e">
        <f>IF(#REF! &lt;= " "," ",#REF!)</f>
        <v>#REF!</v>
      </c>
    </row>
    <row r="61" spans="4:32" x14ac:dyDescent="0.25">
      <c r="E61" t="s">
        <v>66</v>
      </c>
      <c r="F61" s="4" t="s">
        <v>686</v>
      </c>
      <c r="I61" t="s">
        <v>136</v>
      </c>
      <c r="J61" t="s">
        <v>246</v>
      </c>
      <c r="K61">
        <v>60</v>
      </c>
      <c r="L61" t="s">
        <v>540</v>
      </c>
      <c r="M61" t="str">
        <f t="shared" si="0"/>
        <v>60 Years old</v>
      </c>
      <c r="AF61" t="e">
        <f>IF(#REF! &lt;= " "," ",#REF!)</f>
        <v>#REF!</v>
      </c>
    </row>
    <row r="62" spans="4:32" x14ac:dyDescent="0.25">
      <c r="E62" t="s">
        <v>708</v>
      </c>
      <c r="F62" s="4" t="s">
        <v>700</v>
      </c>
      <c r="I62" t="s">
        <v>137</v>
      </c>
      <c r="J62" t="s">
        <v>247</v>
      </c>
      <c r="K62">
        <v>61</v>
      </c>
      <c r="L62" t="s">
        <v>540</v>
      </c>
      <c r="M62" t="str">
        <f t="shared" si="0"/>
        <v>61 Years old</v>
      </c>
      <c r="AF62" t="e">
        <f>IF(#REF! &lt;= " "," ",#REF!)</f>
        <v>#REF!</v>
      </c>
    </row>
    <row r="63" spans="4:32" x14ac:dyDescent="0.25">
      <c r="E63" t="s">
        <v>36</v>
      </c>
      <c r="F63" s="4" t="s">
        <v>687</v>
      </c>
      <c r="I63" t="s">
        <v>138</v>
      </c>
      <c r="J63" t="s">
        <v>248</v>
      </c>
      <c r="K63">
        <v>62</v>
      </c>
      <c r="L63" t="s">
        <v>540</v>
      </c>
      <c r="M63" t="str">
        <f t="shared" si="0"/>
        <v>62 Years old</v>
      </c>
      <c r="AF63" t="e">
        <f>IF(#REF! &lt;= " "," ",#REF!)</f>
        <v>#REF!</v>
      </c>
    </row>
    <row r="64" spans="4:32" x14ac:dyDescent="0.25">
      <c r="E64" t="s">
        <v>54</v>
      </c>
      <c r="F64" s="4" t="s">
        <v>687</v>
      </c>
      <c r="I64" t="s">
        <v>139</v>
      </c>
      <c r="J64" t="s">
        <v>249</v>
      </c>
      <c r="K64">
        <v>63</v>
      </c>
      <c r="L64" t="s">
        <v>540</v>
      </c>
      <c r="M64" t="str">
        <f t="shared" si="0"/>
        <v>63 Years old</v>
      </c>
      <c r="AF64" t="e">
        <f>IF(#REF! &lt;= " "," ",#REF!)</f>
        <v>#REF!</v>
      </c>
    </row>
    <row r="65" spans="5:32" x14ac:dyDescent="0.25">
      <c r="E65" t="s">
        <v>12</v>
      </c>
      <c r="F65" s="4" t="s">
        <v>688</v>
      </c>
      <c r="I65" t="s">
        <v>140</v>
      </c>
      <c r="J65" t="s">
        <v>250</v>
      </c>
      <c r="K65">
        <v>64</v>
      </c>
      <c r="L65" t="s">
        <v>540</v>
      </c>
      <c r="M65" t="str">
        <f t="shared" si="0"/>
        <v>64 Years old</v>
      </c>
      <c r="AF65" t="e">
        <f>IF(#REF! &lt;= " "," ",#REF!)</f>
        <v>#REF!</v>
      </c>
    </row>
    <row r="66" spans="5:32" x14ac:dyDescent="0.25">
      <c r="E66" t="s">
        <v>649</v>
      </c>
      <c r="F66" s="4" t="s">
        <v>688</v>
      </c>
      <c r="I66" t="s">
        <v>141</v>
      </c>
      <c r="J66" t="s">
        <v>251</v>
      </c>
      <c r="K66">
        <v>65</v>
      </c>
      <c r="L66" t="s">
        <v>540</v>
      </c>
      <c r="M66" t="str">
        <f t="shared" si="0"/>
        <v>65 Years old</v>
      </c>
      <c r="AF66" t="e">
        <f>IF(#REF! &lt;= " "," ",#REF!)</f>
        <v>#REF!</v>
      </c>
    </row>
    <row r="67" spans="5:32" x14ac:dyDescent="0.25">
      <c r="E67" t="s">
        <v>56</v>
      </c>
      <c r="F67" s="4" t="s">
        <v>689</v>
      </c>
      <c r="I67" t="s">
        <v>142</v>
      </c>
      <c r="J67" t="s">
        <v>252</v>
      </c>
      <c r="K67">
        <v>66</v>
      </c>
      <c r="L67" t="s">
        <v>540</v>
      </c>
      <c r="M67" t="str">
        <f t="shared" ref="M67:M116" si="1">CONCATENATE(K67," ",L67)</f>
        <v>66 Years old</v>
      </c>
      <c r="AF67" t="e">
        <f>IF(#REF! &lt;= " "," ",#REF!)</f>
        <v>#REF!</v>
      </c>
    </row>
    <row r="68" spans="5:32" x14ac:dyDescent="0.25">
      <c r="E68" t="s">
        <v>639</v>
      </c>
      <c r="F68" s="4" t="s">
        <v>689</v>
      </c>
      <c r="I68" t="s">
        <v>143</v>
      </c>
      <c r="J68" t="s">
        <v>253</v>
      </c>
      <c r="K68">
        <v>67</v>
      </c>
      <c r="L68" t="s">
        <v>540</v>
      </c>
      <c r="M68" t="str">
        <f t="shared" si="1"/>
        <v>67 Years old</v>
      </c>
      <c r="AF68" t="e">
        <f>IF(#REF! &lt;= " "," ",#REF!)</f>
        <v>#REF!</v>
      </c>
    </row>
    <row r="69" spans="5:32" x14ac:dyDescent="0.25">
      <c r="E69" t="s">
        <v>59</v>
      </c>
      <c r="F69" s="4" t="s">
        <v>701</v>
      </c>
      <c r="I69" t="s">
        <v>144</v>
      </c>
      <c r="J69" t="s">
        <v>254</v>
      </c>
      <c r="K69">
        <v>68</v>
      </c>
      <c r="L69" t="s">
        <v>540</v>
      </c>
      <c r="M69" t="str">
        <f t="shared" si="1"/>
        <v>68 Years old</v>
      </c>
      <c r="AF69" t="e">
        <f>IF(#REF! &lt;= " "," ",#REF!)</f>
        <v>#REF!</v>
      </c>
    </row>
    <row r="70" spans="5:32" x14ac:dyDescent="0.25">
      <c r="E70" t="s">
        <v>41</v>
      </c>
      <c r="F70" s="4" t="s">
        <v>690</v>
      </c>
      <c r="I70" t="s">
        <v>145</v>
      </c>
      <c r="J70" t="s">
        <v>255</v>
      </c>
      <c r="K70">
        <v>69</v>
      </c>
      <c r="L70" t="s">
        <v>540</v>
      </c>
      <c r="M70" t="str">
        <f t="shared" si="1"/>
        <v>69 Years old</v>
      </c>
      <c r="AF70" t="e">
        <f>IF(#REF! &lt;= " "," ",#REF!)</f>
        <v>#REF!</v>
      </c>
    </row>
    <row r="71" spans="5:32" x14ac:dyDescent="0.25">
      <c r="E71" t="s">
        <v>46</v>
      </c>
      <c r="F71" s="4" t="s">
        <v>691</v>
      </c>
      <c r="I71" t="s">
        <v>146</v>
      </c>
      <c r="J71" t="s">
        <v>256</v>
      </c>
      <c r="K71">
        <v>70</v>
      </c>
      <c r="L71" t="s">
        <v>540</v>
      </c>
      <c r="M71" t="str">
        <f t="shared" si="1"/>
        <v>70 Years old</v>
      </c>
      <c r="AF71" t="e">
        <f>IF(#REF! &lt;= " "," ",#REF!)</f>
        <v>#REF!</v>
      </c>
    </row>
    <row r="72" spans="5:32" x14ac:dyDescent="0.25">
      <c r="E72" t="s">
        <v>50</v>
      </c>
      <c r="F72" s="4" t="s">
        <v>691</v>
      </c>
      <c r="I72" t="s">
        <v>147</v>
      </c>
      <c r="J72" t="s">
        <v>257</v>
      </c>
      <c r="K72">
        <v>71</v>
      </c>
      <c r="L72" t="s">
        <v>540</v>
      </c>
      <c r="M72" t="str">
        <f t="shared" si="1"/>
        <v>71 Years old</v>
      </c>
      <c r="AF72" t="e">
        <f>IF(#REF! &lt;= " "," ",#REF!)</f>
        <v>#REF!</v>
      </c>
    </row>
    <row r="73" spans="5:32" x14ac:dyDescent="0.25">
      <c r="E73" t="s">
        <v>1</v>
      </c>
      <c r="F73" s="4" t="s">
        <v>692</v>
      </c>
      <c r="I73" t="s">
        <v>148</v>
      </c>
      <c r="J73" t="s">
        <v>258</v>
      </c>
      <c r="K73">
        <v>72</v>
      </c>
      <c r="L73" t="s">
        <v>540</v>
      </c>
      <c r="M73" t="str">
        <f t="shared" si="1"/>
        <v>72 Years old</v>
      </c>
      <c r="AF73" t="e">
        <f>IF(#REF! &lt;= " "," ",#REF!)</f>
        <v>#REF!</v>
      </c>
    </row>
    <row r="74" spans="5:32" x14ac:dyDescent="0.25">
      <c r="E74" t="s">
        <v>13</v>
      </c>
      <c r="F74" s="4" t="s">
        <v>692</v>
      </c>
      <c r="I74" t="s">
        <v>149</v>
      </c>
      <c r="J74" t="s">
        <v>259</v>
      </c>
      <c r="K74">
        <v>73</v>
      </c>
      <c r="L74" t="s">
        <v>540</v>
      </c>
      <c r="M74" t="str">
        <f t="shared" si="1"/>
        <v>73 Years old</v>
      </c>
      <c r="AF74" t="e">
        <f>IF(#REF! &lt;= " "," ",#REF!)</f>
        <v>#REF!</v>
      </c>
    </row>
    <row r="75" spans="5:32" x14ac:dyDescent="0.25">
      <c r="E75" t="s">
        <v>52</v>
      </c>
      <c r="F75" s="4" t="s">
        <v>702</v>
      </c>
      <c r="I75" t="s">
        <v>150</v>
      </c>
      <c r="J75" t="s">
        <v>260</v>
      </c>
      <c r="K75">
        <v>74</v>
      </c>
      <c r="L75" t="s">
        <v>540</v>
      </c>
      <c r="M75" t="str">
        <f t="shared" si="1"/>
        <v>74 Years old</v>
      </c>
      <c r="AF75" t="e">
        <f>IF(#REF! &lt;= " "," ",#REF!)</f>
        <v>#REF!</v>
      </c>
    </row>
    <row r="76" spans="5:32" x14ac:dyDescent="0.25">
      <c r="E76" t="s">
        <v>44</v>
      </c>
      <c r="F76" s="4" t="s">
        <v>693</v>
      </c>
      <c r="I76" t="s">
        <v>151</v>
      </c>
      <c r="J76" t="s">
        <v>261</v>
      </c>
      <c r="K76">
        <v>75</v>
      </c>
      <c r="L76" t="s">
        <v>540</v>
      </c>
      <c r="M76" t="str">
        <f t="shared" si="1"/>
        <v>75 Years old</v>
      </c>
      <c r="AF76" t="e">
        <f>IF(#REF! &lt;= " "," ",#REF!)</f>
        <v>#REF!</v>
      </c>
    </row>
    <row r="77" spans="5:32" x14ac:dyDescent="0.25">
      <c r="E77" t="s">
        <v>650</v>
      </c>
      <c r="F77" s="4" t="s">
        <v>693</v>
      </c>
      <c r="I77" t="s">
        <v>152</v>
      </c>
      <c r="J77" t="s">
        <v>262</v>
      </c>
      <c r="K77">
        <v>76</v>
      </c>
      <c r="L77" t="s">
        <v>540</v>
      </c>
      <c r="M77" t="str">
        <f t="shared" si="1"/>
        <v>76 Years old</v>
      </c>
      <c r="AF77" t="e">
        <f>IF(#REF! &lt;= " "," ",#REF!)</f>
        <v>#REF!</v>
      </c>
    </row>
    <row r="78" spans="5:32" x14ac:dyDescent="0.25">
      <c r="E78" t="s">
        <v>640</v>
      </c>
      <c r="F78" s="4" t="s">
        <v>703</v>
      </c>
      <c r="I78" t="s">
        <v>153</v>
      </c>
      <c r="J78" t="s">
        <v>263</v>
      </c>
      <c r="K78">
        <v>77</v>
      </c>
      <c r="L78" t="s">
        <v>540</v>
      </c>
      <c r="M78" t="str">
        <f t="shared" si="1"/>
        <v>77 Years old</v>
      </c>
      <c r="AF78" t="e">
        <f>IF(#REF! &lt;= " "," ",#REF!)</f>
        <v>#REF!</v>
      </c>
    </row>
    <row r="79" spans="5:32" x14ac:dyDescent="0.25">
      <c r="E79" t="s">
        <v>538</v>
      </c>
      <c r="F79" s="2" t="s">
        <v>706</v>
      </c>
      <c r="I79" t="s">
        <v>154</v>
      </c>
      <c r="J79" t="s">
        <v>264</v>
      </c>
      <c r="K79">
        <v>78</v>
      </c>
      <c r="L79" t="s">
        <v>540</v>
      </c>
      <c r="M79" t="str">
        <f t="shared" si="1"/>
        <v>78 Years old</v>
      </c>
      <c r="AF79" t="e">
        <f>IF(#REF! &lt;= " "," ",#REF!)</f>
        <v>#REF!</v>
      </c>
    </row>
    <row r="80" spans="5:32" x14ac:dyDescent="0.25">
      <c r="E80" t="s">
        <v>42</v>
      </c>
      <c r="F80" s="2" t="s">
        <v>713</v>
      </c>
      <c r="I80" t="s">
        <v>155</v>
      </c>
      <c r="J80" t="s">
        <v>265</v>
      </c>
      <c r="K80">
        <v>79</v>
      </c>
      <c r="L80" t="s">
        <v>540</v>
      </c>
      <c r="M80" t="str">
        <f t="shared" si="1"/>
        <v>79 Years old</v>
      </c>
      <c r="AF80" t="e">
        <f>IF(#REF! &lt;= " "," ",#REF!)</f>
        <v>#REF!</v>
      </c>
    </row>
    <row r="81" spans="5:32" x14ac:dyDescent="0.25">
      <c r="E81" t="s">
        <v>43</v>
      </c>
      <c r="F81" s="2" t="s">
        <v>715</v>
      </c>
      <c r="I81" t="s">
        <v>156</v>
      </c>
      <c r="J81" t="s">
        <v>266</v>
      </c>
      <c r="K81">
        <v>80</v>
      </c>
      <c r="L81" t="s">
        <v>540</v>
      </c>
      <c r="M81" t="str">
        <f t="shared" si="1"/>
        <v>80 Years old</v>
      </c>
      <c r="AF81" t="e">
        <f>IF(#REF! &lt;= " "," ",#REF!)</f>
        <v>#REF!</v>
      </c>
    </row>
    <row r="82" spans="5:32" x14ac:dyDescent="0.25">
      <c r="E82" t="s">
        <v>48</v>
      </c>
      <c r="F82" s="2" t="s">
        <v>653</v>
      </c>
      <c r="I82" t="s">
        <v>157</v>
      </c>
      <c r="J82" t="s">
        <v>267</v>
      </c>
      <c r="K82">
        <v>81</v>
      </c>
      <c r="L82" t="s">
        <v>540</v>
      </c>
      <c r="M82" t="str">
        <f t="shared" si="1"/>
        <v>81 Years old</v>
      </c>
      <c r="AF82" t="e">
        <f>IF(#REF! &lt;= " "," ",#REF!)</f>
        <v>#REF!</v>
      </c>
    </row>
    <row r="83" spans="5:32" x14ac:dyDescent="0.25">
      <c r="E83" t="s">
        <v>49</v>
      </c>
      <c r="F83" s="2" t="s">
        <v>653</v>
      </c>
      <c r="I83" t="s">
        <v>158</v>
      </c>
      <c r="J83" t="s">
        <v>268</v>
      </c>
      <c r="K83">
        <v>82</v>
      </c>
      <c r="L83" t="s">
        <v>540</v>
      </c>
      <c r="M83" t="str">
        <f t="shared" si="1"/>
        <v>82 Years old</v>
      </c>
      <c r="AF83" t="e">
        <f>IF(#REF! &lt;= " "," ",#REF!)</f>
        <v>#REF!</v>
      </c>
    </row>
    <row r="84" spans="5:32" x14ac:dyDescent="0.25">
      <c r="E84" t="s">
        <v>51</v>
      </c>
      <c r="F84" s="2" t="s">
        <v>709</v>
      </c>
      <c r="I84" t="s">
        <v>159</v>
      </c>
      <c r="J84" t="s">
        <v>269</v>
      </c>
      <c r="K84">
        <v>83</v>
      </c>
      <c r="L84" t="s">
        <v>540</v>
      </c>
      <c r="M84" t="str">
        <f t="shared" si="1"/>
        <v>83 Years old</v>
      </c>
      <c r="AF84" t="e">
        <f>IF(#REF! &lt;= " "," ",#REF!)</f>
        <v>#REF!</v>
      </c>
    </row>
    <row r="85" spans="5:32" x14ac:dyDescent="0.25">
      <c r="E85" t="s">
        <v>53</v>
      </c>
      <c r="F85" s="2" t="s">
        <v>709</v>
      </c>
      <c r="I85" t="s">
        <v>160</v>
      </c>
      <c r="J85" t="s">
        <v>270</v>
      </c>
      <c r="K85">
        <v>84</v>
      </c>
      <c r="L85" t="s">
        <v>540</v>
      </c>
      <c r="M85" t="str">
        <f t="shared" si="1"/>
        <v>84 Years old</v>
      </c>
      <c r="AF85" t="e">
        <f>IF(#REF! &lt;= " "," ",#REF!)</f>
        <v>#REF!</v>
      </c>
    </row>
    <row r="86" spans="5:32" x14ac:dyDescent="0.25">
      <c r="E86" t="s">
        <v>58</v>
      </c>
      <c r="F86" s="2" t="s">
        <v>709</v>
      </c>
      <c r="I86" t="s">
        <v>161</v>
      </c>
      <c r="J86" t="s">
        <v>271</v>
      </c>
      <c r="K86">
        <v>85</v>
      </c>
      <c r="L86" t="s">
        <v>540</v>
      </c>
      <c r="M86" t="str">
        <f t="shared" si="1"/>
        <v>85 Years old</v>
      </c>
      <c r="AF86" t="e">
        <f>IF(#REF! &lt;= " "," ",#REF!)</f>
        <v>#REF!</v>
      </c>
    </row>
    <row r="87" spans="5:32" x14ac:dyDescent="0.25">
      <c r="E87" t="s">
        <v>627</v>
      </c>
      <c r="F87" s="2" t="s">
        <v>709</v>
      </c>
      <c r="I87" t="s">
        <v>162</v>
      </c>
      <c r="J87" t="s">
        <v>272</v>
      </c>
      <c r="K87">
        <v>86</v>
      </c>
      <c r="L87" t="s">
        <v>540</v>
      </c>
      <c r="M87" t="str">
        <f t="shared" si="1"/>
        <v>86 Years old</v>
      </c>
      <c r="AF87" t="e">
        <f>IF(#REF! &lt;= " "," ",#REF!)</f>
        <v>#REF!</v>
      </c>
    </row>
    <row r="88" spans="5:32" x14ac:dyDescent="0.25">
      <c r="E88" t="s">
        <v>60</v>
      </c>
      <c r="F88" s="2" t="s">
        <v>714</v>
      </c>
      <c r="I88" t="s">
        <v>163</v>
      </c>
      <c r="J88" t="s">
        <v>273</v>
      </c>
      <c r="K88">
        <v>87</v>
      </c>
      <c r="L88" t="s">
        <v>540</v>
      </c>
      <c r="M88" t="str">
        <f t="shared" si="1"/>
        <v>87 Years old</v>
      </c>
      <c r="AF88" t="e">
        <f>IF(#REF! &lt;= " "," ",#REF!)</f>
        <v>#REF!</v>
      </c>
    </row>
    <row r="89" spans="5:32" x14ac:dyDescent="0.25">
      <c r="E89" t="s">
        <v>61</v>
      </c>
      <c r="F89" s="2" t="s">
        <v>709</v>
      </c>
      <c r="I89" t="s">
        <v>164</v>
      </c>
      <c r="J89" t="s">
        <v>274</v>
      </c>
      <c r="K89">
        <v>88</v>
      </c>
      <c r="L89" t="s">
        <v>540</v>
      </c>
      <c r="M89" t="str">
        <f t="shared" si="1"/>
        <v>88 Years old</v>
      </c>
      <c r="AF89" t="e">
        <f>IF(#REF! &lt;= " "," ",#REF!)</f>
        <v>#REF!</v>
      </c>
    </row>
    <row r="90" spans="5:32" x14ac:dyDescent="0.25">
      <c r="E90" t="s">
        <v>628</v>
      </c>
      <c r="F90" s="2" t="s">
        <v>709</v>
      </c>
      <c r="I90" t="s">
        <v>165</v>
      </c>
      <c r="J90" t="s">
        <v>275</v>
      </c>
      <c r="K90">
        <v>89</v>
      </c>
      <c r="L90" t="s">
        <v>540</v>
      </c>
      <c r="M90" t="str">
        <f t="shared" si="1"/>
        <v>89 Years old</v>
      </c>
      <c r="AF90" t="e">
        <f>IF(#REF! &lt;= " "," ",#REF!)</f>
        <v>#REF!</v>
      </c>
    </row>
    <row r="91" spans="5:32" x14ac:dyDescent="0.25">
      <c r="E91" t="s">
        <v>642</v>
      </c>
      <c r="F91" s="2" t="s">
        <v>709</v>
      </c>
      <c r="I91" t="s">
        <v>166</v>
      </c>
      <c r="J91" t="s">
        <v>276</v>
      </c>
      <c r="K91">
        <v>90</v>
      </c>
      <c r="L91" t="s">
        <v>540</v>
      </c>
      <c r="M91" t="str">
        <f t="shared" si="1"/>
        <v>90 Years old</v>
      </c>
      <c r="AF91" t="e">
        <f>IF(#REF! &lt;= " "," ",#REF!)</f>
        <v>#REF!</v>
      </c>
    </row>
    <row r="92" spans="5:32" x14ac:dyDescent="0.25">
      <c r="E92" t="s">
        <v>65</v>
      </c>
      <c r="F92" s="2" t="s">
        <v>709</v>
      </c>
      <c r="I92" t="s">
        <v>167</v>
      </c>
      <c r="J92" t="s">
        <v>277</v>
      </c>
      <c r="K92">
        <v>91</v>
      </c>
      <c r="L92" t="s">
        <v>540</v>
      </c>
      <c r="M92" t="str">
        <f t="shared" si="1"/>
        <v>91 Years old</v>
      </c>
      <c r="AF92" t="e">
        <f>IF(#REF! &lt;= " "," ",#REF!)</f>
        <v>#REF!</v>
      </c>
    </row>
    <row r="93" spans="5:32" x14ac:dyDescent="0.25">
      <c r="E93" t="s">
        <v>67</v>
      </c>
      <c r="F93" s="2" t="s">
        <v>709</v>
      </c>
      <c r="I93" t="s">
        <v>168</v>
      </c>
      <c r="J93" t="s">
        <v>278</v>
      </c>
      <c r="K93">
        <v>92</v>
      </c>
      <c r="L93" t="s">
        <v>540</v>
      </c>
      <c r="M93" t="str">
        <f t="shared" si="1"/>
        <v>92 Years old</v>
      </c>
      <c r="AF93" t="e">
        <f>IF(#REF! &lt;= " "," ",#REF!)</f>
        <v>#REF!</v>
      </c>
    </row>
    <row r="94" spans="5:32" x14ac:dyDescent="0.25">
      <c r="E94" t="s">
        <v>629</v>
      </c>
      <c r="F94" s="2" t="s">
        <v>712</v>
      </c>
      <c r="I94" t="s">
        <v>169</v>
      </c>
      <c r="J94" t="s">
        <v>279</v>
      </c>
      <c r="K94">
        <v>93</v>
      </c>
      <c r="L94" t="s">
        <v>540</v>
      </c>
      <c r="M94" t="str">
        <f t="shared" si="1"/>
        <v>93 Years old</v>
      </c>
      <c r="AF94" t="e">
        <f>IF(#REF! &lt;= " "," ",#REF!)</f>
        <v>#REF!</v>
      </c>
    </row>
    <row r="95" spans="5:32" x14ac:dyDescent="0.25">
      <c r="F95" s="4"/>
      <c r="I95" t="s">
        <v>170</v>
      </c>
      <c r="J95" t="s">
        <v>280</v>
      </c>
      <c r="K95">
        <v>94</v>
      </c>
      <c r="L95" t="s">
        <v>540</v>
      </c>
      <c r="M95" t="str">
        <f t="shared" si="1"/>
        <v>94 Years old</v>
      </c>
      <c r="AF95" t="e">
        <f>IF(#REF! &lt;= " "," ",#REF!)</f>
        <v>#REF!</v>
      </c>
    </row>
    <row r="96" spans="5:32" x14ac:dyDescent="0.25">
      <c r="I96" t="s">
        <v>171</v>
      </c>
      <c r="J96" t="s">
        <v>281</v>
      </c>
      <c r="K96">
        <v>95</v>
      </c>
      <c r="L96" t="s">
        <v>540</v>
      </c>
      <c r="M96" t="str">
        <f t="shared" si="1"/>
        <v>95 Years old</v>
      </c>
      <c r="AF96" t="e">
        <f>IF(#REF! &lt;= " "," ",#REF!)</f>
        <v>#REF!</v>
      </c>
    </row>
    <row r="97" spans="9:32" x14ac:dyDescent="0.25">
      <c r="I97" t="s">
        <v>172</v>
      </c>
      <c r="J97" t="s">
        <v>282</v>
      </c>
      <c r="K97">
        <v>96</v>
      </c>
      <c r="L97" t="s">
        <v>540</v>
      </c>
      <c r="M97" t="str">
        <f t="shared" si="1"/>
        <v>96 Years old</v>
      </c>
      <c r="AF97" t="e">
        <f>IF(#REF! &lt;= " "," ",#REF!)</f>
        <v>#REF!</v>
      </c>
    </row>
    <row r="98" spans="9:32" x14ac:dyDescent="0.25">
      <c r="I98" t="s">
        <v>173</v>
      </c>
      <c r="J98" t="s">
        <v>283</v>
      </c>
      <c r="K98">
        <v>97</v>
      </c>
      <c r="L98" t="s">
        <v>540</v>
      </c>
      <c r="M98" t="str">
        <f t="shared" si="1"/>
        <v>97 Years old</v>
      </c>
      <c r="AF98" t="e">
        <f>IF(#REF! &lt;= " "," ",#REF!)</f>
        <v>#REF!</v>
      </c>
    </row>
    <row r="99" spans="9:32" x14ac:dyDescent="0.25">
      <c r="I99" t="s">
        <v>174</v>
      </c>
      <c r="J99" t="s">
        <v>284</v>
      </c>
      <c r="K99">
        <v>98</v>
      </c>
      <c r="L99" t="s">
        <v>540</v>
      </c>
      <c r="M99" t="str">
        <f t="shared" si="1"/>
        <v>98 Years old</v>
      </c>
      <c r="AF99" t="e">
        <f>IF(#REF! &lt;= " "," ",#REF!)</f>
        <v>#REF!</v>
      </c>
    </row>
    <row r="100" spans="9:32" x14ac:dyDescent="0.25">
      <c r="I100" t="s">
        <v>175</v>
      </c>
      <c r="J100" t="s">
        <v>285</v>
      </c>
      <c r="K100">
        <v>99</v>
      </c>
      <c r="L100" t="s">
        <v>540</v>
      </c>
      <c r="M100" t="str">
        <f t="shared" si="1"/>
        <v>99 Years old</v>
      </c>
      <c r="AF100" t="e">
        <f>IF(#REF! &lt;= " "," ",#REF!)</f>
        <v>#REF!</v>
      </c>
    </row>
    <row r="101" spans="9:32" x14ac:dyDescent="0.25">
      <c r="I101" t="s">
        <v>176</v>
      </c>
      <c r="J101" t="s">
        <v>286</v>
      </c>
      <c r="K101">
        <v>100</v>
      </c>
      <c r="L101" t="s">
        <v>540</v>
      </c>
      <c r="M101" t="str">
        <f t="shared" si="1"/>
        <v>100 Years old</v>
      </c>
      <c r="AF101" t="e">
        <f>IF(#REF! &lt;= " "," ",#REF!)</f>
        <v>#REF!</v>
      </c>
    </row>
    <row r="102" spans="9:32" x14ac:dyDescent="0.25">
      <c r="I102" t="s">
        <v>177</v>
      </c>
      <c r="J102" t="s">
        <v>287</v>
      </c>
      <c r="K102">
        <v>101</v>
      </c>
      <c r="L102" t="s">
        <v>540</v>
      </c>
      <c r="M102" t="str">
        <f t="shared" si="1"/>
        <v>101 Years old</v>
      </c>
      <c r="AF102" t="e">
        <f>IF(#REF! &lt;= " "," ",#REF!)</f>
        <v>#REF!</v>
      </c>
    </row>
    <row r="103" spans="9:32" x14ac:dyDescent="0.25">
      <c r="I103" t="s">
        <v>178</v>
      </c>
      <c r="J103" t="s">
        <v>288</v>
      </c>
      <c r="K103">
        <v>102</v>
      </c>
      <c r="L103" t="s">
        <v>540</v>
      </c>
      <c r="M103" t="str">
        <f t="shared" si="1"/>
        <v>102 Years old</v>
      </c>
      <c r="AF103" t="e">
        <f>IF(#REF! &lt;= " "," ",#REF!)</f>
        <v>#REF!</v>
      </c>
    </row>
    <row r="104" spans="9:32" x14ac:dyDescent="0.25">
      <c r="I104" t="s">
        <v>179</v>
      </c>
      <c r="J104" t="s">
        <v>289</v>
      </c>
      <c r="K104">
        <v>103</v>
      </c>
      <c r="L104" t="s">
        <v>540</v>
      </c>
      <c r="M104" t="str">
        <f t="shared" si="1"/>
        <v>103 Years old</v>
      </c>
      <c r="AF104" t="e">
        <f>IF(#REF! &lt;= " "," ",#REF!)</f>
        <v>#REF!</v>
      </c>
    </row>
    <row r="105" spans="9:32" x14ac:dyDescent="0.25">
      <c r="I105" t="s">
        <v>180</v>
      </c>
      <c r="J105" t="s">
        <v>290</v>
      </c>
      <c r="K105">
        <v>104</v>
      </c>
      <c r="L105" t="s">
        <v>540</v>
      </c>
      <c r="M105" t="str">
        <f t="shared" si="1"/>
        <v>104 Years old</v>
      </c>
      <c r="AF105" t="e">
        <f>IF(#REF! &lt;= " "," ",#REF!)</f>
        <v>#REF!</v>
      </c>
    </row>
    <row r="106" spans="9:32" x14ac:dyDescent="0.25">
      <c r="I106" t="s">
        <v>181</v>
      </c>
      <c r="J106" t="s">
        <v>291</v>
      </c>
      <c r="K106">
        <v>105</v>
      </c>
      <c r="L106" t="s">
        <v>540</v>
      </c>
      <c r="M106" t="str">
        <f t="shared" si="1"/>
        <v>105 Years old</v>
      </c>
      <c r="AF106" t="e">
        <f>IF(#REF! &lt;= " "," ",#REF!)</f>
        <v>#REF!</v>
      </c>
    </row>
    <row r="107" spans="9:32" x14ac:dyDescent="0.25">
      <c r="I107" t="s">
        <v>182</v>
      </c>
      <c r="J107" t="s">
        <v>292</v>
      </c>
      <c r="K107">
        <v>106</v>
      </c>
      <c r="L107" t="s">
        <v>540</v>
      </c>
      <c r="M107" t="str">
        <f t="shared" si="1"/>
        <v>106 Years old</v>
      </c>
      <c r="AF107" t="e">
        <f>IF(#REF! &lt;= " "," ",#REF!)</f>
        <v>#REF!</v>
      </c>
    </row>
    <row r="108" spans="9:32" x14ac:dyDescent="0.25">
      <c r="I108" t="s">
        <v>183</v>
      </c>
      <c r="J108" t="s">
        <v>293</v>
      </c>
      <c r="K108">
        <v>107</v>
      </c>
      <c r="L108" t="s">
        <v>540</v>
      </c>
      <c r="M108" t="str">
        <f t="shared" si="1"/>
        <v>107 Years old</v>
      </c>
      <c r="AF108" t="e">
        <f>IF(#REF! &lt;= " "," ",#REF!)</f>
        <v>#REF!</v>
      </c>
    </row>
    <row r="109" spans="9:32" x14ac:dyDescent="0.25">
      <c r="I109" t="s">
        <v>184</v>
      </c>
      <c r="J109" t="s">
        <v>294</v>
      </c>
      <c r="K109">
        <v>108</v>
      </c>
      <c r="L109" t="s">
        <v>540</v>
      </c>
      <c r="M109" t="str">
        <f t="shared" si="1"/>
        <v>108 Years old</v>
      </c>
      <c r="AF109" t="e">
        <f>IF(#REF! &lt;= " "," ",#REF!)</f>
        <v>#REF!</v>
      </c>
    </row>
    <row r="110" spans="9:32" x14ac:dyDescent="0.25">
      <c r="I110" t="s">
        <v>397</v>
      </c>
      <c r="J110" t="s">
        <v>295</v>
      </c>
      <c r="K110">
        <v>109</v>
      </c>
      <c r="L110" t="s">
        <v>540</v>
      </c>
      <c r="M110" t="str">
        <f t="shared" si="1"/>
        <v>109 Years old</v>
      </c>
      <c r="AF110" t="e">
        <f>IF(#REF! &lt;= " "," ",#REF!)</f>
        <v>#REF!</v>
      </c>
    </row>
    <row r="111" spans="9:32" x14ac:dyDescent="0.25">
      <c r="J111" t="s">
        <v>296</v>
      </c>
      <c r="K111">
        <v>110</v>
      </c>
      <c r="L111" t="s">
        <v>540</v>
      </c>
      <c r="M111" t="str">
        <f t="shared" si="1"/>
        <v>110 Years old</v>
      </c>
      <c r="AF111" t="e">
        <f>IF(#REF! &lt;= " "," ",#REF!)</f>
        <v>#REF!</v>
      </c>
    </row>
    <row r="112" spans="9:32" x14ac:dyDescent="0.25">
      <c r="J112" t="s">
        <v>297</v>
      </c>
      <c r="K112">
        <v>111</v>
      </c>
      <c r="L112" t="s">
        <v>540</v>
      </c>
      <c r="M112" t="str">
        <f t="shared" si="1"/>
        <v>111 Years old</v>
      </c>
      <c r="AF112" t="e">
        <f>IF(#REF! &lt;= " "," ",#REF!)</f>
        <v>#REF!</v>
      </c>
    </row>
    <row r="113" spans="10:32" x14ac:dyDescent="0.25">
      <c r="J113" t="s">
        <v>298</v>
      </c>
      <c r="K113">
        <v>112</v>
      </c>
      <c r="L113" t="s">
        <v>540</v>
      </c>
      <c r="M113" t="str">
        <f t="shared" si="1"/>
        <v>112 Years old</v>
      </c>
      <c r="AF113" t="e">
        <f>IF(#REF! &lt;= " "," ",#REF!)</f>
        <v>#REF!</v>
      </c>
    </row>
    <row r="114" spans="10:32" x14ac:dyDescent="0.25">
      <c r="J114" t="s">
        <v>299</v>
      </c>
      <c r="K114">
        <v>113</v>
      </c>
      <c r="L114" t="s">
        <v>540</v>
      </c>
      <c r="M114" t="str">
        <f t="shared" si="1"/>
        <v>113 Years old</v>
      </c>
      <c r="AF114" t="e">
        <f>IF(#REF! &lt;= " "," ",#REF!)</f>
        <v>#REF!</v>
      </c>
    </row>
    <row r="115" spans="10:32" x14ac:dyDescent="0.25">
      <c r="J115" t="s">
        <v>300</v>
      </c>
      <c r="K115">
        <v>114</v>
      </c>
      <c r="L115" t="s">
        <v>540</v>
      </c>
      <c r="M115" t="str">
        <f t="shared" si="1"/>
        <v>114 Years old</v>
      </c>
      <c r="AF115" t="e">
        <f>IF(#REF! &lt;= " "," ",#REF!)</f>
        <v>#REF!</v>
      </c>
    </row>
    <row r="116" spans="10:32" x14ac:dyDescent="0.25">
      <c r="J116" t="s">
        <v>301</v>
      </c>
      <c r="K116">
        <v>115</v>
      </c>
      <c r="L116" t="s">
        <v>540</v>
      </c>
      <c r="M116" t="str">
        <f t="shared" si="1"/>
        <v>115 Years old</v>
      </c>
      <c r="AF116" t="e">
        <f>IF(#REF! &lt;= " "," ",#REF!)</f>
        <v>#REF!</v>
      </c>
    </row>
    <row r="117" spans="10:32" x14ac:dyDescent="0.25">
      <c r="J117" t="s">
        <v>302</v>
      </c>
      <c r="AF117" t="e">
        <f>IF(#REF! &lt;= " "," ",#REF!)</f>
        <v>#REF!</v>
      </c>
    </row>
    <row r="118" spans="10:32" x14ac:dyDescent="0.25">
      <c r="J118" t="s">
        <v>303</v>
      </c>
      <c r="AF118" t="e">
        <f>IF(#REF! &lt;= " "," ",#REF!)</f>
        <v>#REF!</v>
      </c>
    </row>
    <row r="119" spans="10:32" x14ac:dyDescent="0.25">
      <c r="J119" t="s">
        <v>304</v>
      </c>
      <c r="AF119" t="e">
        <f>IF(#REF! &lt;= " "," ",#REF!)</f>
        <v>#REF!</v>
      </c>
    </row>
    <row r="120" spans="10:32" x14ac:dyDescent="0.25">
      <c r="J120" t="s">
        <v>305</v>
      </c>
      <c r="AF120" t="e">
        <f>IF(#REF! &lt;= " "," ",#REF!)</f>
        <v>#REF!</v>
      </c>
    </row>
    <row r="121" spans="10:32" x14ac:dyDescent="0.25">
      <c r="J121" t="s">
        <v>306</v>
      </c>
      <c r="AF121" t="e">
        <f>IF(#REF! &lt;= " "," ",#REF!)</f>
        <v>#REF!</v>
      </c>
    </row>
    <row r="122" spans="10:32" x14ac:dyDescent="0.25">
      <c r="J122" t="s">
        <v>307</v>
      </c>
      <c r="AF122" t="e">
        <f>IF(#REF! &lt;= " "," ",#REF!)</f>
        <v>#REF!</v>
      </c>
    </row>
    <row r="123" spans="10:32" x14ac:dyDescent="0.25">
      <c r="J123" t="s">
        <v>308</v>
      </c>
      <c r="AF123" t="e">
        <f>IF(#REF! &lt;= " "," ",#REF!)</f>
        <v>#REF!</v>
      </c>
    </row>
    <row r="124" spans="10:32" x14ac:dyDescent="0.25">
      <c r="J124" t="s">
        <v>309</v>
      </c>
      <c r="AF124" t="e">
        <f>IF(#REF! &lt;= " "," ",#REF!)</f>
        <v>#REF!</v>
      </c>
    </row>
    <row r="125" spans="10:32" x14ac:dyDescent="0.25">
      <c r="J125" t="s">
        <v>310</v>
      </c>
      <c r="AF125" t="e">
        <f>IF(#REF! &lt;= " "," ",#REF!)</f>
        <v>#REF!</v>
      </c>
    </row>
    <row r="126" spans="10:32" x14ac:dyDescent="0.25">
      <c r="J126" t="s">
        <v>311</v>
      </c>
      <c r="AF126" t="e">
        <f>IF(#REF! &lt;= " "," ",#REF!)</f>
        <v>#REF!</v>
      </c>
    </row>
    <row r="127" spans="10:32" x14ac:dyDescent="0.25">
      <c r="J127" t="s">
        <v>312</v>
      </c>
      <c r="AF127" t="e">
        <f>IF(#REF! &lt;= " "," ",#REF!)</f>
        <v>#REF!</v>
      </c>
    </row>
    <row r="128" spans="10:32" x14ac:dyDescent="0.25">
      <c r="J128" t="s">
        <v>313</v>
      </c>
      <c r="AF128" t="e">
        <f>IF(#REF! &lt;= " "," ",#REF!)</f>
        <v>#REF!</v>
      </c>
    </row>
    <row r="129" spans="10:32" x14ac:dyDescent="0.25">
      <c r="J129" t="s">
        <v>314</v>
      </c>
      <c r="AF129" t="e">
        <f>IF(#REF! &lt;= " "," ",#REF!)</f>
        <v>#REF!</v>
      </c>
    </row>
    <row r="130" spans="10:32" x14ac:dyDescent="0.25">
      <c r="J130" t="s">
        <v>315</v>
      </c>
      <c r="AF130" t="e">
        <f>IF(#REF! &lt;= " "," ",#REF!)</f>
        <v>#REF!</v>
      </c>
    </row>
    <row r="131" spans="10:32" x14ac:dyDescent="0.25">
      <c r="J131" t="s">
        <v>316</v>
      </c>
      <c r="AF131" t="e">
        <f>IF(#REF! &lt;= " "," ",#REF!)</f>
        <v>#REF!</v>
      </c>
    </row>
    <row r="132" spans="10:32" x14ac:dyDescent="0.25">
      <c r="J132" t="s">
        <v>317</v>
      </c>
      <c r="AF132" t="e">
        <f>IF(#REF! &lt;= " "," ",#REF!)</f>
        <v>#REF!</v>
      </c>
    </row>
    <row r="133" spans="10:32" x14ac:dyDescent="0.25">
      <c r="J133" t="s">
        <v>318</v>
      </c>
      <c r="AF133" t="e">
        <f>IF(#REF! &lt;= " "," ",#REF!)</f>
        <v>#REF!</v>
      </c>
    </row>
    <row r="134" spans="10:32" x14ac:dyDescent="0.25">
      <c r="J134" t="s">
        <v>319</v>
      </c>
      <c r="AF134" t="e">
        <f>IF(#REF! &lt;= " "," ",#REF!)</f>
        <v>#REF!</v>
      </c>
    </row>
    <row r="135" spans="10:32" x14ac:dyDescent="0.25">
      <c r="J135" t="s">
        <v>320</v>
      </c>
      <c r="AF135" t="e">
        <f>IF(#REF! &lt;= " "," ",#REF!)</f>
        <v>#REF!</v>
      </c>
    </row>
    <row r="136" spans="10:32" x14ac:dyDescent="0.25">
      <c r="J136" t="s">
        <v>321</v>
      </c>
      <c r="AF136" t="e">
        <f>IF(#REF! &lt;= " "," ",#REF!)</f>
        <v>#REF!</v>
      </c>
    </row>
    <row r="137" spans="10:32" x14ac:dyDescent="0.25">
      <c r="J137" t="s">
        <v>322</v>
      </c>
      <c r="AF137" t="e">
        <f>IF(#REF! &lt;= " "," ",#REF!)</f>
        <v>#REF!</v>
      </c>
    </row>
    <row r="138" spans="10:32" x14ac:dyDescent="0.25">
      <c r="J138" t="s">
        <v>323</v>
      </c>
      <c r="AF138" t="e">
        <f>IF(#REF! &lt;= " "," ",#REF!)</f>
        <v>#REF!</v>
      </c>
    </row>
    <row r="139" spans="10:32" x14ac:dyDescent="0.25">
      <c r="J139" t="s">
        <v>324</v>
      </c>
      <c r="AF139" t="e">
        <f>IF(#REF! &lt;= " "," ",#REF!)</f>
        <v>#REF!</v>
      </c>
    </row>
    <row r="140" spans="10:32" x14ac:dyDescent="0.25">
      <c r="J140" t="s">
        <v>325</v>
      </c>
      <c r="AF140" t="e">
        <f>IF(#REF! &lt;= " "," ",#REF!)</f>
        <v>#REF!</v>
      </c>
    </row>
    <row r="141" spans="10:32" x14ac:dyDescent="0.25">
      <c r="J141" t="s">
        <v>326</v>
      </c>
      <c r="AF141" t="e">
        <f>IF(#REF! &lt;= " "," ",#REF!)</f>
        <v>#REF!</v>
      </c>
    </row>
    <row r="142" spans="10:32" x14ac:dyDescent="0.25">
      <c r="J142" t="s">
        <v>327</v>
      </c>
      <c r="AF142" t="e">
        <f>IF(#REF! &lt;= " "," ",#REF!)</f>
        <v>#REF!</v>
      </c>
    </row>
    <row r="143" spans="10:32" x14ac:dyDescent="0.25">
      <c r="J143" t="s">
        <v>328</v>
      </c>
      <c r="AF143" t="e">
        <f>IF(#REF! &lt;= " "," ",#REF!)</f>
        <v>#REF!</v>
      </c>
    </row>
    <row r="144" spans="10:32" x14ac:dyDescent="0.25">
      <c r="J144" t="s">
        <v>329</v>
      </c>
      <c r="AF144" t="e">
        <f>IF(#REF! &lt;= " "," ",#REF!)</f>
        <v>#REF!</v>
      </c>
    </row>
    <row r="145" spans="10:32" x14ac:dyDescent="0.25">
      <c r="J145" t="s">
        <v>330</v>
      </c>
      <c r="AF145" t="e">
        <f>IF(#REF! &lt;= " "," ",#REF!)</f>
        <v>#REF!</v>
      </c>
    </row>
    <row r="146" spans="10:32" x14ac:dyDescent="0.25">
      <c r="J146" t="s">
        <v>331</v>
      </c>
      <c r="AF146" t="e">
        <f>IF(#REF! &lt;= " "," ",#REF!)</f>
        <v>#REF!</v>
      </c>
    </row>
    <row r="147" spans="10:32" x14ac:dyDescent="0.25">
      <c r="J147" t="s">
        <v>332</v>
      </c>
      <c r="AF147" t="e">
        <f>IF(#REF! &lt;= " "," ",#REF!)</f>
        <v>#REF!</v>
      </c>
    </row>
    <row r="148" spans="10:32" x14ac:dyDescent="0.25">
      <c r="J148" t="s">
        <v>333</v>
      </c>
      <c r="AF148" t="e">
        <f>IF(#REF! &lt;= " "," ",#REF!)</f>
        <v>#REF!</v>
      </c>
    </row>
    <row r="149" spans="10:32" x14ac:dyDescent="0.25">
      <c r="J149" t="s">
        <v>334</v>
      </c>
      <c r="AF149" t="e">
        <f>IF(#REF! &lt;= " "," ",#REF!)</f>
        <v>#REF!</v>
      </c>
    </row>
    <row r="150" spans="10:32" x14ac:dyDescent="0.25">
      <c r="J150" t="s">
        <v>335</v>
      </c>
      <c r="AF150" t="e">
        <f>IF(#REF! &lt;= " "," ",#REF!)</f>
        <v>#REF!</v>
      </c>
    </row>
    <row r="151" spans="10:32" x14ac:dyDescent="0.25">
      <c r="J151" t="s">
        <v>336</v>
      </c>
      <c r="AF151" t="e">
        <f>IF(#REF! &lt;= " "," ",#REF!)</f>
        <v>#REF!</v>
      </c>
    </row>
    <row r="152" spans="10:32" x14ac:dyDescent="0.25">
      <c r="J152" t="s">
        <v>337</v>
      </c>
      <c r="AF152" t="e">
        <f>IF(#REF! &lt;= " "," ",#REF!)</f>
        <v>#REF!</v>
      </c>
    </row>
    <row r="153" spans="10:32" x14ac:dyDescent="0.25">
      <c r="J153" t="s">
        <v>338</v>
      </c>
      <c r="AF153" t="e">
        <f>IF(#REF! &lt;= " "," ",#REF!)</f>
        <v>#REF!</v>
      </c>
    </row>
    <row r="154" spans="10:32" x14ac:dyDescent="0.25">
      <c r="J154" t="s">
        <v>339</v>
      </c>
      <c r="AF154" t="e">
        <f>IF(#REF! &lt;= " "," ",#REF!)</f>
        <v>#REF!</v>
      </c>
    </row>
    <row r="155" spans="10:32" x14ac:dyDescent="0.25">
      <c r="J155" t="s">
        <v>340</v>
      </c>
      <c r="AF155" t="e">
        <f>IF(#REF! &lt;= " "," ",#REF!)</f>
        <v>#REF!</v>
      </c>
    </row>
    <row r="156" spans="10:32" x14ac:dyDescent="0.25">
      <c r="J156" t="s">
        <v>341</v>
      </c>
      <c r="AF156" t="e">
        <f>IF(#REF! &lt;= " "," ",#REF!)</f>
        <v>#REF!</v>
      </c>
    </row>
    <row r="157" spans="10:32" x14ac:dyDescent="0.25">
      <c r="J157" t="s">
        <v>342</v>
      </c>
      <c r="AF157" t="e">
        <f>IF(#REF! &lt;= " "," ",#REF!)</f>
        <v>#REF!</v>
      </c>
    </row>
    <row r="158" spans="10:32" x14ac:dyDescent="0.25">
      <c r="J158" t="s">
        <v>343</v>
      </c>
      <c r="AF158" t="e">
        <f>IF(#REF! &lt;= " "," ",#REF!)</f>
        <v>#REF!</v>
      </c>
    </row>
    <row r="159" spans="10:32" x14ac:dyDescent="0.25">
      <c r="J159" t="s">
        <v>344</v>
      </c>
      <c r="AF159" t="e">
        <f>IF(#REF! &lt;= " "," ",#REF!)</f>
        <v>#REF!</v>
      </c>
    </row>
    <row r="160" spans="10:32" x14ac:dyDescent="0.25">
      <c r="J160" t="s">
        <v>345</v>
      </c>
      <c r="AF160" t="e">
        <f>IF(#REF! &lt;= " "," ",#REF!)</f>
        <v>#REF!</v>
      </c>
    </row>
    <row r="161" spans="10:32" x14ac:dyDescent="0.25">
      <c r="J161" t="s">
        <v>346</v>
      </c>
      <c r="AF161" t="e">
        <f>IF(#REF! &lt;= " "," ",#REF!)</f>
        <v>#REF!</v>
      </c>
    </row>
    <row r="162" spans="10:32" x14ac:dyDescent="0.25">
      <c r="J162" t="s">
        <v>347</v>
      </c>
      <c r="AF162" t="e">
        <f>IF(#REF! &lt;= " "," ",#REF!)</f>
        <v>#REF!</v>
      </c>
    </row>
    <row r="163" spans="10:32" x14ac:dyDescent="0.25">
      <c r="J163" t="s">
        <v>348</v>
      </c>
      <c r="AF163" t="e">
        <f>IF(#REF! &lt;= " "," ",#REF!)</f>
        <v>#REF!</v>
      </c>
    </row>
    <row r="164" spans="10:32" x14ac:dyDescent="0.25">
      <c r="J164" t="s">
        <v>349</v>
      </c>
      <c r="AF164" t="e">
        <f>IF(#REF! &lt;= " "," ",#REF!)</f>
        <v>#REF!</v>
      </c>
    </row>
    <row r="165" spans="10:32" x14ac:dyDescent="0.25">
      <c r="J165" t="s">
        <v>350</v>
      </c>
      <c r="AF165" t="e">
        <f>IF(#REF! &lt;= " "," ",#REF!)</f>
        <v>#REF!</v>
      </c>
    </row>
    <row r="166" spans="10:32" x14ac:dyDescent="0.25">
      <c r="J166" t="s">
        <v>351</v>
      </c>
      <c r="AF166" t="e">
        <f>IF(#REF! &lt;= " "," ",#REF!)</f>
        <v>#REF!</v>
      </c>
    </row>
    <row r="167" spans="10:32" x14ac:dyDescent="0.25">
      <c r="J167" t="s">
        <v>352</v>
      </c>
      <c r="AF167" t="e">
        <f>IF(#REF! &lt;= " "," ",#REF!)</f>
        <v>#REF!</v>
      </c>
    </row>
    <row r="168" spans="10:32" x14ac:dyDescent="0.25">
      <c r="J168" t="s">
        <v>353</v>
      </c>
      <c r="AF168" t="e">
        <f>IF(#REF! &lt;= " "," ",#REF!)</f>
        <v>#REF!</v>
      </c>
    </row>
    <row r="169" spans="10:32" x14ac:dyDescent="0.25">
      <c r="J169" t="s">
        <v>354</v>
      </c>
      <c r="AF169" t="e">
        <f>IF(#REF! &lt;= " "," ",#REF!)</f>
        <v>#REF!</v>
      </c>
    </row>
    <row r="170" spans="10:32" x14ac:dyDescent="0.25">
      <c r="J170" t="s">
        <v>355</v>
      </c>
      <c r="AF170" t="e">
        <f>IF(#REF! &lt;= " "," ",#REF!)</f>
        <v>#REF!</v>
      </c>
    </row>
    <row r="171" spans="10:32" x14ac:dyDescent="0.25">
      <c r="J171" t="s">
        <v>356</v>
      </c>
      <c r="AF171" t="e">
        <f>IF(#REF! &lt;= " "," ",#REF!)</f>
        <v>#REF!</v>
      </c>
    </row>
    <row r="172" spans="10:32" x14ac:dyDescent="0.25">
      <c r="J172" t="s">
        <v>357</v>
      </c>
      <c r="AF172" t="e">
        <f>IF(#REF! &lt;= " "," ",#REF!)</f>
        <v>#REF!</v>
      </c>
    </row>
    <row r="173" spans="10:32" x14ac:dyDescent="0.25">
      <c r="J173" t="s">
        <v>358</v>
      </c>
      <c r="AF173" t="e">
        <f>IF(#REF! &lt;= " "," ",#REF!)</f>
        <v>#REF!</v>
      </c>
    </row>
    <row r="174" spans="10:32" x14ac:dyDescent="0.25">
      <c r="J174" t="s">
        <v>359</v>
      </c>
      <c r="AF174" t="e">
        <f>IF(#REF! &lt;= " "," ",#REF!)</f>
        <v>#REF!</v>
      </c>
    </row>
    <row r="175" spans="10:32" x14ac:dyDescent="0.25">
      <c r="J175" t="s">
        <v>360</v>
      </c>
      <c r="AF175" t="e">
        <f>IF(#REF! &lt;= " "," ",#REF!)</f>
        <v>#REF!</v>
      </c>
    </row>
    <row r="176" spans="10:32" x14ac:dyDescent="0.25">
      <c r="J176" t="s">
        <v>361</v>
      </c>
      <c r="AF176" t="e">
        <f>IF(#REF! &lt;= " "," ",#REF!)</f>
        <v>#REF!</v>
      </c>
    </row>
    <row r="177" spans="10:32" x14ac:dyDescent="0.25">
      <c r="J177" t="s">
        <v>362</v>
      </c>
      <c r="AF177" t="e">
        <f>IF(#REF! &lt;= " "," ",#REF!)</f>
        <v>#REF!</v>
      </c>
    </row>
    <row r="178" spans="10:32" x14ac:dyDescent="0.25">
      <c r="J178" t="s">
        <v>363</v>
      </c>
      <c r="AF178" t="e">
        <f>IF(#REF! &lt;= " "," ",#REF!)</f>
        <v>#REF!</v>
      </c>
    </row>
    <row r="179" spans="10:32" x14ac:dyDescent="0.25">
      <c r="J179" t="s">
        <v>364</v>
      </c>
      <c r="AF179" t="e">
        <f>IF(#REF! &lt;= " "," ",#REF!)</f>
        <v>#REF!</v>
      </c>
    </row>
    <row r="180" spans="10:32" x14ac:dyDescent="0.25">
      <c r="J180" t="s">
        <v>365</v>
      </c>
      <c r="AF180" t="e">
        <f>IF(#REF! &lt;= " "," ",#REF!)</f>
        <v>#REF!</v>
      </c>
    </row>
    <row r="181" spans="10:32" x14ac:dyDescent="0.25">
      <c r="J181" t="s">
        <v>366</v>
      </c>
      <c r="AF181" t="e">
        <f>IF(#REF! &lt;= " "," ",#REF!)</f>
        <v>#REF!</v>
      </c>
    </row>
    <row r="182" spans="10:32" x14ac:dyDescent="0.25">
      <c r="J182" t="s">
        <v>367</v>
      </c>
      <c r="AF182" t="e">
        <f>IF(#REF! &lt;= " "," ",#REF!)</f>
        <v>#REF!</v>
      </c>
    </row>
    <row r="183" spans="10:32" x14ac:dyDescent="0.25">
      <c r="J183" t="s">
        <v>368</v>
      </c>
      <c r="AF183" t="e">
        <f>IF(#REF! &lt;= " "," ",#REF!)</f>
        <v>#REF!</v>
      </c>
    </row>
    <row r="184" spans="10:32" x14ac:dyDescent="0.25">
      <c r="J184" t="s">
        <v>369</v>
      </c>
      <c r="AF184" t="e">
        <f>IF(#REF! &lt;= " "," ",#REF!)</f>
        <v>#REF!</v>
      </c>
    </row>
    <row r="185" spans="10:32" x14ac:dyDescent="0.25">
      <c r="J185" t="s">
        <v>370</v>
      </c>
      <c r="AF185" t="e">
        <f>IF(#REF! &lt;= " "," ",#REF!)</f>
        <v>#REF!</v>
      </c>
    </row>
    <row r="186" spans="10:32" x14ac:dyDescent="0.25">
      <c r="J186" t="s">
        <v>371</v>
      </c>
      <c r="AF186" t="e">
        <f>IF(#REF! &lt;= " "," ",#REF!)</f>
        <v>#REF!</v>
      </c>
    </row>
    <row r="187" spans="10:32" x14ac:dyDescent="0.25">
      <c r="J187" t="s">
        <v>372</v>
      </c>
      <c r="AF187" t="e">
        <f>IF(#REF! &lt;= " "," ",#REF!)</f>
        <v>#REF!</v>
      </c>
    </row>
    <row r="188" spans="10:32" x14ac:dyDescent="0.25">
      <c r="J188" t="s">
        <v>373</v>
      </c>
      <c r="AF188" t="e">
        <f>IF(#REF! &lt;= " "," ",#REF!)</f>
        <v>#REF!</v>
      </c>
    </row>
    <row r="189" spans="10:32" x14ac:dyDescent="0.25">
      <c r="J189" t="s">
        <v>374</v>
      </c>
      <c r="AF189" t="e">
        <f>IF(#REF! &lt;= " "," ",#REF!)</f>
        <v>#REF!</v>
      </c>
    </row>
    <row r="190" spans="10:32" x14ac:dyDescent="0.25">
      <c r="J190" t="s">
        <v>375</v>
      </c>
      <c r="AF190" t="e">
        <f>IF(#REF! &lt;= " "," ",#REF!)</f>
        <v>#REF!</v>
      </c>
    </row>
    <row r="191" spans="10:32" x14ac:dyDescent="0.25">
      <c r="J191" t="s">
        <v>376</v>
      </c>
      <c r="AF191" t="e">
        <f>IF(#REF! &lt;= " "," ",#REF!)</f>
        <v>#REF!</v>
      </c>
    </row>
    <row r="192" spans="10:32" x14ac:dyDescent="0.25">
      <c r="J192" t="s">
        <v>377</v>
      </c>
      <c r="AF192" t="e">
        <f>IF(#REF! &lt;= " "," ",#REF!)</f>
        <v>#REF!</v>
      </c>
    </row>
    <row r="193" spans="10:32" x14ac:dyDescent="0.25">
      <c r="J193" t="s">
        <v>378</v>
      </c>
      <c r="AF193" t="e">
        <f>IF(#REF! &lt;= " "," ",#REF!)</f>
        <v>#REF!</v>
      </c>
    </row>
    <row r="194" spans="10:32" x14ac:dyDescent="0.25">
      <c r="J194" t="s">
        <v>379</v>
      </c>
      <c r="AF194" t="e">
        <f>IF(#REF! &lt;= " "," ",#REF!)</f>
        <v>#REF!</v>
      </c>
    </row>
    <row r="195" spans="10:32" x14ac:dyDescent="0.25">
      <c r="J195" t="s">
        <v>380</v>
      </c>
      <c r="AF195" t="e">
        <f>IF(#REF! &lt;= " "," ",#REF!)</f>
        <v>#REF!</v>
      </c>
    </row>
    <row r="196" spans="10:32" x14ac:dyDescent="0.25">
      <c r="J196" t="s">
        <v>381</v>
      </c>
      <c r="AF196" t="e">
        <f>IF(#REF! &lt;= " "," ",#REF!)</f>
        <v>#REF!</v>
      </c>
    </row>
    <row r="197" spans="10:32" x14ac:dyDescent="0.25">
      <c r="J197" t="s">
        <v>382</v>
      </c>
      <c r="AF197" t="e">
        <f>IF(#REF! &lt;= " "," ",#REF!)</f>
        <v>#REF!</v>
      </c>
    </row>
    <row r="198" spans="10:32" x14ac:dyDescent="0.25">
      <c r="J198" t="s">
        <v>383</v>
      </c>
      <c r="AF198" t="e">
        <f>IF(#REF! &lt;= " "," ",#REF!)</f>
        <v>#REF!</v>
      </c>
    </row>
    <row r="199" spans="10:32" x14ac:dyDescent="0.25">
      <c r="J199" t="s">
        <v>384</v>
      </c>
      <c r="AF199" t="e">
        <f>IF(#REF! &lt;= " "," ",#REF!)</f>
        <v>#REF!</v>
      </c>
    </row>
    <row r="200" spans="10:32" x14ac:dyDescent="0.25">
      <c r="J200" t="s">
        <v>385</v>
      </c>
      <c r="AF200" t="e">
        <f>IF(#REF! &lt;= " "," ",#REF!)</f>
        <v>#REF!</v>
      </c>
    </row>
    <row r="201" spans="10:32" x14ac:dyDescent="0.25">
      <c r="J201" t="s">
        <v>386</v>
      </c>
      <c r="AF201" t="e">
        <f>IF(#REF! &lt;= " "," ",#REF!)</f>
        <v>#REF!</v>
      </c>
    </row>
    <row r="202" spans="10:32" x14ac:dyDescent="0.25">
      <c r="J202" t="s">
        <v>387</v>
      </c>
      <c r="AF202" t="e">
        <f>IF(#REF! &lt;= " "," ",#REF!)</f>
        <v>#REF!</v>
      </c>
    </row>
    <row r="203" spans="10:32" x14ac:dyDescent="0.25">
      <c r="J203" t="s">
        <v>388</v>
      </c>
      <c r="AF203" t="e">
        <f>IF(#REF! &lt;= " "," ",#REF!)</f>
        <v>#REF!</v>
      </c>
    </row>
    <row r="204" spans="10:32" x14ac:dyDescent="0.25">
      <c r="J204" t="s">
        <v>389</v>
      </c>
      <c r="AF204" t="e">
        <f>IF(#REF! &lt;= " "," ",#REF!)</f>
        <v>#REF!</v>
      </c>
    </row>
    <row r="205" spans="10:32" x14ac:dyDescent="0.25">
      <c r="J205" t="s">
        <v>390</v>
      </c>
      <c r="AF205" t="e">
        <f>IF(#REF! &lt;= " "," ",#REF!)</f>
        <v>#REF!</v>
      </c>
    </row>
    <row r="206" spans="10:32" x14ac:dyDescent="0.25">
      <c r="J206" t="s">
        <v>391</v>
      </c>
      <c r="AF206" t="e">
        <f>IF(#REF! &lt;= " "," ",#REF!)</f>
        <v>#REF!</v>
      </c>
    </row>
    <row r="207" spans="10:32" x14ac:dyDescent="0.25">
      <c r="J207" t="s">
        <v>392</v>
      </c>
      <c r="AF207" t="e">
        <f>IF(#REF! &lt;= " "," ",#REF!)</f>
        <v>#REF!</v>
      </c>
    </row>
    <row r="208" spans="10:32" x14ac:dyDescent="0.25">
      <c r="J208" t="s">
        <v>393</v>
      </c>
      <c r="AF208" t="e">
        <f>IF(#REF! &lt;= " "," ",#REF!)</f>
        <v>#REF!</v>
      </c>
    </row>
    <row r="209" spans="10:32" x14ac:dyDescent="0.25">
      <c r="J209" t="s">
        <v>394</v>
      </c>
      <c r="AF209" t="e">
        <f>IF(#REF! &lt;= " "," ",#REF!)</f>
        <v>#REF!</v>
      </c>
    </row>
    <row r="210" spans="10:32" x14ac:dyDescent="0.25">
      <c r="J210" t="s">
        <v>395</v>
      </c>
      <c r="AF210" t="e">
        <f>IF(#REF! &lt;= " "," ",#REF!)</f>
        <v>#REF!</v>
      </c>
    </row>
    <row r="211" spans="10:32" x14ac:dyDescent="0.25">
      <c r="J211" t="s">
        <v>396</v>
      </c>
      <c r="AF211" t="e">
        <f>IF(#REF! &lt;= " "," ",#REF!)</f>
        <v>#REF!</v>
      </c>
    </row>
    <row r="212" spans="10:32" x14ac:dyDescent="0.25">
      <c r="J212" t="s">
        <v>397</v>
      </c>
      <c r="AF212" t="e">
        <f>IF(#REF! &lt;= " "," ",#REF!)</f>
        <v>#REF!</v>
      </c>
    </row>
    <row r="213" spans="10:32" x14ac:dyDescent="0.25">
      <c r="J213" t="s">
        <v>398</v>
      </c>
      <c r="AF213" t="e">
        <f>IF(#REF! &lt;= " "," ",#REF!)</f>
        <v>#REF!</v>
      </c>
    </row>
    <row r="214" spans="10:32" x14ac:dyDescent="0.25">
      <c r="J214" t="s">
        <v>399</v>
      </c>
      <c r="AF214" t="e">
        <f>IF(#REF! &lt;= " "," ",#REF!)</f>
        <v>#REF!</v>
      </c>
    </row>
    <row r="215" spans="10:32" x14ac:dyDescent="0.25">
      <c r="J215" t="s">
        <v>400</v>
      </c>
      <c r="AF215" t="e">
        <f>IF(#REF! &lt;= " "," ",#REF!)</f>
        <v>#REF!</v>
      </c>
    </row>
    <row r="216" spans="10:32" x14ac:dyDescent="0.25">
      <c r="J216" t="s">
        <v>401</v>
      </c>
      <c r="AF216" t="e">
        <f>IF(#REF! &lt;= " "," ",#REF!)</f>
        <v>#REF!</v>
      </c>
    </row>
    <row r="217" spans="10:32" x14ac:dyDescent="0.25">
      <c r="J217" t="s">
        <v>402</v>
      </c>
    </row>
    <row r="218" spans="10:32" x14ac:dyDescent="0.25">
      <c r="J218" t="s">
        <v>403</v>
      </c>
    </row>
    <row r="219" spans="10:32" x14ac:dyDescent="0.25">
      <c r="J219" t="s">
        <v>404</v>
      </c>
    </row>
    <row r="220" spans="10:32" x14ac:dyDescent="0.25">
      <c r="J220" t="s">
        <v>405</v>
      </c>
    </row>
    <row r="221" spans="10:32" x14ac:dyDescent="0.25">
      <c r="J221" t="s">
        <v>406</v>
      </c>
    </row>
    <row r="222" spans="10:32" x14ac:dyDescent="0.25">
      <c r="J222" t="s">
        <v>407</v>
      </c>
    </row>
    <row r="223" spans="10:32" x14ac:dyDescent="0.25">
      <c r="J223" t="s">
        <v>408</v>
      </c>
    </row>
    <row r="224" spans="10:32" x14ac:dyDescent="0.25">
      <c r="J224" t="s">
        <v>409</v>
      </c>
    </row>
    <row r="225" spans="10:10" x14ac:dyDescent="0.25">
      <c r="J225" t="s">
        <v>410</v>
      </c>
    </row>
    <row r="226" spans="10:10" x14ac:dyDescent="0.25">
      <c r="J226" t="s">
        <v>411</v>
      </c>
    </row>
    <row r="227" spans="10:10" x14ac:dyDescent="0.25">
      <c r="J227" t="s">
        <v>412</v>
      </c>
    </row>
    <row r="228" spans="10:10" x14ac:dyDescent="0.25">
      <c r="J228" t="s">
        <v>413</v>
      </c>
    </row>
    <row r="229" spans="10:10" x14ac:dyDescent="0.25">
      <c r="J229" t="s">
        <v>414</v>
      </c>
    </row>
    <row r="230" spans="10:10" x14ac:dyDescent="0.25">
      <c r="J230" t="s">
        <v>415</v>
      </c>
    </row>
    <row r="231" spans="10:10" x14ac:dyDescent="0.25">
      <c r="J231" t="s">
        <v>416</v>
      </c>
    </row>
    <row r="232" spans="10:10" x14ac:dyDescent="0.25">
      <c r="J232" t="s">
        <v>417</v>
      </c>
    </row>
    <row r="233" spans="10:10" x14ac:dyDescent="0.25">
      <c r="J233" t="s">
        <v>418</v>
      </c>
    </row>
    <row r="234" spans="10:10" x14ac:dyDescent="0.25">
      <c r="J234" t="s">
        <v>419</v>
      </c>
    </row>
    <row r="235" spans="10:10" x14ac:dyDescent="0.25">
      <c r="J235" t="s">
        <v>420</v>
      </c>
    </row>
    <row r="236" spans="10:10" x14ac:dyDescent="0.25">
      <c r="J236" t="s">
        <v>421</v>
      </c>
    </row>
    <row r="237" spans="10:10" x14ac:dyDescent="0.25">
      <c r="J237" t="s">
        <v>422</v>
      </c>
    </row>
    <row r="238" spans="10:10" x14ac:dyDescent="0.25">
      <c r="J238" t="s">
        <v>423</v>
      </c>
    </row>
    <row r="239" spans="10:10" x14ac:dyDescent="0.25">
      <c r="J239" t="s">
        <v>424</v>
      </c>
    </row>
    <row r="240" spans="10:10" x14ac:dyDescent="0.25">
      <c r="J240" t="s">
        <v>425</v>
      </c>
    </row>
    <row r="241" spans="10:10" x14ac:dyDescent="0.25">
      <c r="J241" t="s">
        <v>426</v>
      </c>
    </row>
    <row r="242" spans="10:10" x14ac:dyDescent="0.25">
      <c r="J242" t="s">
        <v>427</v>
      </c>
    </row>
    <row r="243" spans="10:10" x14ac:dyDescent="0.25">
      <c r="J243" t="s">
        <v>428</v>
      </c>
    </row>
    <row r="244" spans="10:10" x14ac:dyDescent="0.25">
      <c r="J244" t="s">
        <v>429</v>
      </c>
    </row>
    <row r="245" spans="10:10" x14ac:dyDescent="0.25">
      <c r="J245" t="s">
        <v>430</v>
      </c>
    </row>
    <row r="246" spans="10:10" x14ac:dyDescent="0.25">
      <c r="J246" t="s">
        <v>431</v>
      </c>
    </row>
    <row r="247" spans="10:10" x14ac:dyDescent="0.25">
      <c r="J247" t="s">
        <v>432</v>
      </c>
    </row>
    <row r="248" spans="10:10" x14ac:dyDescent="0.25">
      <c r="J248" t="s">
        <v>433</v>
      </c>
    </row>
    <row r="249" spans="10:10" x14ac:dyDescent="0.25">
      <c r="J249" t="s">
        <v>434</v>
      </c>
    </row>
    <row r="250" spans="10:10" x14ac:dyDescent="0.25">
      <c r="J250" t="s">
        <v>435</v>
      </c>
    </row>
    <row r="251" spans="10:10" x14ac:dyDescent="0.25">
      <c r="J251" t="s">
        <v>436</v>
      </c>
    </row>
    <row r="252" spans="10:10" x14ac:dyDescent="0.25">
      <c r="J252" t="s">
        <v>437</v>
      </c>
    </row>
    <row r="253" spans="10:10" x14ac:dyDescent="0.25">
      <c r="J253" t="s">
        <v>438</v>
      </c>
    </row>
    <row r="254" spans="10:10" x14ac:dyDescent="0.25">
      <c r="J254" t="s">
        <v>439</v>
      </c>
    </row>
    <row r="255" spans="10:10" x14ac:dyDescent="0.25">
      <c r="J255" t="s">
        <v>440</v>
      </c>
    </row>
    <row r="256" spans="10:10" x14ac:dyDescent="0.25">
      <c r="J256" t="s">
        <v>441</v>
      </c>
    </row>
    <row r="257" spans="10:10" x14ac:dyDescent="0.25">
      <c r="J257" t="s">
        <v>442</v>
      </c>
    </row>
    <row r="258" spans="10:10" x14ac:dyDescent="0.25">
      <c r="J258" t="s">
        <v>443</v>
      </c>
    </row>
    <row r="259" spans="10:10" x14ac:dyDescent="0.25">
      <c r="J259" t="s">
        <v>444</v>
      </c>
    </row>
    <row r="260" spans="10:10" x14ac:dyDescent="0.25">
      <c r="J260" t="s">
        <v>445</v>
      </c>
    </row>
    <row r="261" spans="10:10" x14ac:dyDescent="0.25">
      <c r="J261" t="s">
        <v>446</v>
      </c>
    </row>
    <row r="262" spans="10:10" x14ac:dyDescent="0.25">
      <c r="J262" t="s">
        <v>447</v>
      </c>
    </row>
    <row r="263" spans="10:10" x14ac:dyDescent="0.25">
      <c r="J263" t="s">
        <v>448</v>
      </c>
    </row>
    <row r="264" spans="10:10" x14ac:dyDescent="0.25">
      <c r="J264" t="s">
        <v>449</v>
      </c>
    </row>
    <row r="265" spans="10:10" x14ac:dyDescent="0.25">
      <c r="J265" t="s">
        <v>450</v>
      </c>
    </row>
    <row r="266" spans="10:10" x14ac:dyDescent="0.25">
      <c r="J266" t="s">
        <v>451</v>
      </c>
    </row>
    <row r="267" spans="10:10" x14ac:dyDescent="0.25">
      <c r="J267" t="s">
        <v>452</v>
      </c>
    </row>
    <row r="268" spans="10:10" x14ac:dyDescent="0.25">
      <c r="J268" t="s">
        <v>453</v>
      </c>
    </row>
    <row r="269" spans="10:10" x14ac:dyDescent="0.25">
      <c r="J269" t="s">
        <v>454</v>
      </c>
    </row>
    <row r="270" spans="10:10" x14ac:dyDescent="0.25">
      <c r="J270" t="s">
        <v>455</v>
      </c>
    </row>
    <row r="271" spans="10:10" x14ac:dyDescent="0.25">
      <c r="J271" t="s">
        <v>456</v>
      </c>
    </row>
    <row r="272" spans="10:10" x14ac:dyDescent="0.25">
      <c r="J272" t="s">
        <v>457</v>
      </c>
    </row>
    <row r="273" spans="10:10" x14ac:dyDescent="0.25">
      <c r="J273" t="s">
        <v>458</v>
      </c>
    </row>
    <row r="274" spans="10:10" x14ac:dyDescent="0.25">
      <c r="J274" t="s">
        <v>459</v>
      </c>
    </row>
    <row r="275" spans="10:10" x14ac:dyDescent="0.25">
      <c r="J275" t="s">
        <v>460</v>
      </c>
    </row>
    <row r="276" spans="10:10" x14ac:dyDescent="0.25">
      <c r="J276" t="s">
        <v>461</v>
      </c>
    </row>
    <row r="277" spans="10:10" x14ac:dyDescent="0.25">
      <c r="J277" t="s">
        <v>462</v>
      </c>
    </row>
    <row r="278" spans="10:10" x14ac:dyDescent="0.25">
      <c r="J278" t="s">
        <v>463</v>
      </c>
    </row>
    <row r="279" spans="10:10" x14ac:dyDescent="0.25">
      <c r="J279" t="s">
        <v>464</v>
      </c>
    </row>
    <row r="280" spans="10:10" x14ac:dyDescent="0.25">
      <c r="J280" t="s">
        <v>465</v>
      </c>
    </row>
    <row r="281" spans="10:10" x14ac:dyDescent="0.25">
      <c r="J281" t="s">
        <v>466</v>
      </c>
    </row>
    <row r="282" spans="10:10" x14ac:dyDescent="0.25">
      <c r="J282" t="s">
        <v>467</v>
      </c>
    </row>
    <row r="283" spans="10:10" x14ac:dyDescent="0.25">
      <c r="J283" t="s">
        <v>468</v>
      </c>
    </row>
    <row r="284" spans="10:10" x14ac:dyDescent="0.25">
      <c r="J284" t="s">
        <v>469</v>
      </c>
    </row>
    <row r="285" spans="10:10" x14ac:dyDescent="0.25">
      <c r="J285" t="s">
        <v>470</v>
      </c>
    </row>
    <row r="286" spans="10:10" x14ac:dyDescent="0.25">
      <c r="J286" t="s">
        <v>471</v>
      </c>
    </row>
    <row r="287" spans="10:10" x14ac:dyDescent="0.25">
      <c r="J287" t="s">
        <v>472</v>
      </c>
    </row>
    <row r="288" spans="10:10" x14ac:dyDescent="0.25">
      <c r="J288" t="s">
        <v>473</v>
      </c>
    </row>
    <row r="289" spans="10:10" x14ac:dyDescent="0.25">
      <c r="J289" t="s">
        <v>474</v>
      </c>
    </row>
    <row r="290" spans="10:10" x14ac:dyDescent="0.25">
      <c r="J290" t="s">
        <v>475</v>
      </c>
    </row>
    <row r="291" spans="10:10" x14ac:dyDescent="0.25">
      <c r="J291" t="s">
        <v>476</v>
      </c>
    </row>
    <row r="292" spans="10:10" x14ac:dyDescent="0.25">
      <c r="J292" t="s">
        <v>477</v>
      </c>
    </row>
    <row r="293" spans="10:10" x14ac:dyDescent="0.25">
      <c r="J293" t="s">
        <v>478</v>
      </c>
    </row>
    <row r="294" spans="10:10" x14ac:dyDescent="0.25">
      <c r="J294" t="s">
        <v>479</v>
      </c>
    </row>
    <row r="295" spans="10:10" x14ac:dyDescent="0.25">
      <c r="J295" t="s">
        <v>480</v>
      </c>
    </row>
    <row r="296" spans="10:10" x14ac:dyDescent="0.25">
      <c r="J296" t="s">
        <v>481</v>
      </c>
    </row>
    <row r="297" spans="10:10" x14ac:dyDescent="0.25">
      <c r="J297" t="s">
        <v>482</v>
      </c>
    </row>
    <row r="298" spans="10:10" x14ac:dyDescent="0.25">
      <c r="J298" t="s">
        <v>483</v>
      </c>
    </row>
    <row r="299" spans="10:10" x14ac:dyDescent="0.25">
      <c r="J299" t="s">
        <v>484</v>
      </c>
    </row>
    <row r="300" spans="10:10" x14ac:dyDescent="0.25">
      <c r="J300" t="s">
        <v>485</v>
      </c>
    </row>
    <row r="301" spans="10:10" x14ac:dyDescent="0.25">
      <c r="J301" t="s">
        <v>486</v>
      </c>
    </row>
    <row r="302" spans="10:10" x14ac:dyDescent="0.25">
      <c r="J302" t="s">
        <v>487</v>
      </c>
    </row>
    <row r="303" spans="10:10" x14ac:dyDescent="0.25">
      <c r="J303" t="s">
        <v>488</v>
      </c>
    </row>
    <row r="304" spans="10:10" x14ac:dyDescent="0.25">
      <c r="J304" t="s">
        <v>489</v>
      </c>
    </row>
    <row r="305" spans="10:10" x14ac:dyDescent="0.25">
      <c r="J305" t="s">
        <v>490</v>
      </c>
    </row>
    <row r="306" spans="10:10" x14ac:dyDescent="0.25">
      <c r="J306" t="s">
        <v>491</v>
      </c>
    </row>
    <row r="307" spans="10:10" x14ac:dyDescent="0.25">
      <c r="J307" t="s">
        <v>492</v>
      </c>
    </row>
    <row r="308" spans="10:10" x14ac:dyDescent="0.25">
      <c r="J308" t="s">
        <v>493</v>
      </c>
    </row>
    <row r="309" spans="10:10" x14ac:dyDescent="0.25">
      <c r="J309" t="s">
        <v>494</v>
      </c>
    </row>
    <row r="310" spans="10:10" x14ac:dyDescent="0.25">
      <c r="J310" t="s">
        <v>495</v>
      </c>
    </row>
    <row r="311" spans="10:10" x14ac:dyDescent="0.25">
      <c r="J311" t="s">
        <v>496</v>
      </c>
    </row>
    <row r="312" spans="10:10" x14ac:dyDescent="0.25">
      <c r="J312" t="s">
        <v>497</v>
      </c>
    </row>
    <row r="313" spans="10:10" x14ac:dyDescent="0.25">
      <c r="J313" t="s">
        <v>498</v>
      </c>
    </row>
    <row r="314" spans="10:10" x14ac:dyDescent="0.25">
      <c r="J314" t="s">
        <v>499</v>
      </c>
    </row>
    <row r="315" spans="10:10" x14ac:dyDescent="0.25">
      <c r="J315" t="s">
        <v>500</v>
      </c>
    </row>
    <row r="316" spans="10:10" x14ac:dyDescent="0.25">
      <c r="J316" t="s">
        <v>501</v>
      </c>
    </row>
    <row r="317" spans="10:10" x14ac:dyDescent="0.25">
      <c r="J317" t="s">
        <v>502</v>
      </c>
    </row>
    <row r="318" spans="10:10" x14ac:dyDescent="0.25">
      <c r="J318" t="s">
        <v>503</v>
      </c>
    </row>
    <row r="319" spans="10:10" x14ac:dyDescent="0.25">
      <c r="J319" t="s">
        <v>504</v>
      </c>
    </row>
    <row r="320" spans="10:10" x14ac:dyDescent="0.25">
      <c r="J320" t="s">
        <v>505</v>
      </c>
    </row>
    <row r="321" spans="10:10" x14ac:dyDescent="0.25">
      <c r="J321" t="s">
        <v>506</v>
      </c>
    </row>
    <row r="322" spans="10:10" x14ac:dyDescent="0.25">
      <c r="J322" t="s">
        <v>507</v>
      </c>
    </row>
    <row r="323" spans="10:10" x14ac:dyDescent="0.25">
      <c r="J323" t="s">
        <v>508</v>
      </c>
    </row>
    <row r="324" spans="10:10" x14ac:dyDescent="0.25">
      <c r="J324" t="s">
        <v>509</v>
      </c>
    </row>
    <row r="325" spans="10:10" x14ac:dyDescent="0.25">
      <c r="J325" t="s">
        <v>510</v>
      </c>
    </row>
    <row r="326" spans="10:10" x14ac:dyDescent="0.25">
      <c r="J326" t="s">
        <v>511</v>
      </c>
    </row>
    <row r="327" spans="10:10" x14ac:dyDescent="0.25">
      <c r="J327" t="s">
        <v>512</v>
      </c>
    </row>
    <row r="328" spans="10:10" x14ac:dyDescent="0.25">
      <c r="J328" t="s">
        <v>513</v>
      </c>
    </row>
    <row r="329" spans="10:10" x14ac:dyDescent="0.25">
      <c r="J329" t="s">
        <v>514</v>
      </c>
    </row>
    <row r="330" spans="10:10" x14ac:dyDescent="0.25">
      <c r="J330" t="s">
        <v>515</v>
      </c>
    </row>
    <row r="331" spans="10:10" x14ac:dyDescent="0.25">
      <c r="J331" t="s">
        <v>516</v>
      </c>
    </row>
    <row r="332" spans="10:10" x14ac:dyDescent="0.25">
      <c r="J332" t="s">
        <v>517</v>
      </c>
    </row>
    <row r="333" spans="10:10" x14ac:dyDescent="0.25">
      <c r="J333" t="s">
        <v>518</v>
      </c>
    </row>
    <row r="334" spans="10:10" x14ac:dyDescent="0.25">
      <c r="J334" t="s">
        <v>519</v>
      </c>
    </row>
    <row r="335" spans="10:10" x14ac:dyDescent="0.25">
      <c r="J335" t="s">
        <v>520</v>
      </c>
    </row>
    <row r="336" spans="10:10" x14ac:dyDescent="0.25">
      <c r="J336" t="s">
        <v>521</v>
      </c>
    </row>
    <row r="337" spans="10:10" x14ac:dyDescent="0.25">
      <c r="J337" t="s">
        <v>522</v>
      </c>
    </row>
    <row r="338" spans="10:10" x14ac:dyDescent="0.25">
      <c r="J338" t="s">
        <v>523</v>
      </c>
    </row>
    <row r="339" spans="10:10" x14ac:dyDescent="0.25">
      <c r="J339" t="s">
        <v>524</v>
      </c>
    </row>
    <row r="340" spans="10:10" x14ac:dyDescent="0.25">
      <c r="J340" t="s">
        <v>525</v>
      </c>
    </row>
    <row r="341" spans="10:10" x14ac:dyDescent="0.25">
      <c r="J341" t="s">
        <v>526</v>
      </c>
    </row>
    <row r="342" spans="10:10" x14ac:dyDescent="0.25">
      <c r="J342" t="s">
        <v>527</v>
      </c>
    </row>
    <row r="343" spans="10:10" x14ac:dyDescent="0.25">
      <c r="J343" t="s">
        <v>528</v>
      </c>
    </row>
    <row r="344" spans="10:10" x14ac:dyDescent="0.25">
      <c r="J344" t="s">
        <v>529</v>
      </c>
    </row>
    <row r="345" spans="10:10" x14ac:dyDescent="0.25">
      <c r="J345" t="s">
        <v>530</v>
      </c>
    </row>
    <row r="346" spans="10:10" x14ac:dyDescent="0.25">
      <c r="J346" t="s">
        <v>531</v>
      </c>
    </row>
    <row r="347" spans="10:10" x14ac:dyDescent="0.25">
      <c r="J347" t="s">
        <v>532</v>
      </c>
    </row>
    <row r="348" spans="10:10" x14ac:dyDescent="0.25">
      <c r="J348" t="s">
        <v>533</v>
      </c>
    </row>
    <row r="349" spans="10:10" x14ac:dyDescent="0.25">
      <c r="J349" t="s">
        <v>534</v>
      </c>
    </row>
    <row r="350" spans="10:10" x14ac:dyDescent="0.25">
      <c r="J350" t="s">
        <v>535</v>
      </c>
    </row>
    <row r="351" spans="10:10" x14ac:dyDescent="0.25">
      <c r="J351" t="s">
        <v>536</v>
      </c>
    </row>
    <row r="352" spans="10:10" x14ac:dyDescent="0.25">
      <c r="J352" t="s">
        <v>537</v>
      </c>
    </row>
  </sheetData>
  <pageMargins left="0.7" right="0.7" top="0.75" bottom="0.75" header="0.3" footer="0.3"/>
  <pageSetup orientation="portrait"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917BFF9-4FF5-4FF5-96C5-A5089D4A3CC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Welcome</vt:lpstr>
      <vt:lpstr>PendingDatabase</vt:lpstr>
      <vt:lpstr>PendingHELPER</vt:lpstr>
      <vt:lpstr>PublicHMOs</vt:lpstr>
      <vt:lpstr>PrivateHMOs</vt:lpstr>
      <vt:lpstr>Support</vt:lpstr>
      <vt:lpstr>Gender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Israel Josiah</dc:creator>
  <cp:lastModifiedBy>IsraelJosiah</cp:lastModifiedBy>
  <cp:lastPrinted>2022-01-14T22:07:51Z</cp:lastPrinted>
  <dcterms:created xsi:type="dcterms:W3CDTF">2021-05-27T18:06:57Z</dcterms:created>
  <dcterms:modified xsi:type="dcterms:W3CDTF">2022-12-19T15:39:04Z</dcterms:modified>
</cp:coreProperties>
</file>